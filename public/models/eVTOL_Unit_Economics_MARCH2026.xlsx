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a148474250f21e/Desktop/"/>
    </mc:Choice>
  </mc:AlternateContent>
  <xr:revisionPtr revIDLastSave="0" documentId="8_{2D74F01B-B78F-42C4-924C-EBD54A2D93EB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Assumptions" sheetId="1" r:id="rId1"/>
    <sheet name="Unit Economics" sheetId="2" r:id="rId2"/>
    <sheet name="5-Year P&amp;L" sheetId="3" r:id="rId3"/>
    <sheet name="Sensitivit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3" l="1"/>
  <c r="B30" i="3" s="1"/>
  <c r="F7" i="3"/>
  <c r="E7" i="3"/>
  <c r="D7" i="3"/>
  <c r="C7" i="3"/>
  <c r="B7" i="3"/>
  <c r="F6" i="3"/>
  <c r="E6" i="3"/>
  <c r="D6" i="3"/>
  <c r="C6" i="3"/>
  <c r="B6" i="3"/>
  <c r="B39" i="1"/>
  <c r="B10" i="2" s="1"/>
  <c r="B27" i="1"/>
  <c r="B29" i="1" s="1"/>
  <c r="B18" i="1"/>
  <c r="B14" i="1"/>
  <c r="F24" i="3" l="1"/>
  <c r="F18" i="3"/>
  <c r="F9" i="3"/>
  <c r="F29" i="3"/>
  <c r="F30" i="3" s="1"/>
  <c r="E24" i="3"/>
  <c r="E18" i="3"/>
  <c r="E9" i="3"/>
  <c r="E29" i="3"/>
  <c r="E30" i="3" s="1"/>
  <c r="D24" i="3"/>
  <c r="D29" i="3"/>
  <c r="D30" i="3" s="1"/>
  <c r="C24" i="3"/>
  <c r="C29" i="3"/>
  <c r="C30" i="3" s="1"/>
  <c r="B24" i="3"/>
  <c r="B6" i="2"/>
  <c r="B15" i="2" s="1"/>
  <c r="B16" i="2" s="1"/>
  <c r="B12" i="3"/>
  <c r="C12" i="3"/>
  <c r="D12" i="3"/>
  <c r="F12" i="3"/>
  <c r="E12" i="3"/>
  <c r="B20" i="1"/>
  <c r="B22" i="1" s="1"/>
  <c r="B5" i="2" s="1"/>
  <c r="F8" i="3"/>
  <c r="D8" i="3"/>
  <c r="D9" i="3" s="1"/>
  <c r="C8" i="3"/>
  <c r="C9" i="3" s="1"/>
  <c r="B8" i="3"/>
  <c r="B9" i="3" s="1"/>
  <c r="E8" i="3"/>
  <c r="B20" i="2"/>
  <c r="B42" i="1"/>
  <c r="B47" i="1" s="1"/>
  <c r="F13" i="3" l="1"/>
  <c r="F17" i="3"/>
  <c r="F19" i="3" s="1"/>
  <c r="E13" i="3"/>
  <c r="E17" i="3"/>
  <c r="E19" i="3" s="1"/>
  <c r="D17" i="3"/>
  <c r="D19" i="3" s="1"/>
  <c r="D13" i="3"/>
  <c r="C13" i="3"/>
  <c r="C17" i="3"/>
  <c r="B13" i="3"/>
  <c r="B17" i="3"/>
  <c r="B7" i="2"/>
  <c r="B29" i="2"/>
  <c r="B11" i="2"/>
  <c r="B12" i="2" s="1"/>
  <c r="B17" i="2"/>
  <c r="B26" i="2" s="1"/>
  <c r="D18" i="3"/>
  <c r="C18" i="3"/>
  <c r="B18" i="3"/>
  <c r="F14" i="3" l="1"/>
  <c r="F22" i="3"/>
  <c r="E14" i="3"/>
  <c r="E22" i="3"/>
  <c r="D14" i="3"/>
  <c r="D22" i="3"/>
  <c r="C14" i="3"/>
  <c r="C22" i="3"/>
  <c r="B28" i="2"/>
  <c r="B27" i="2"/>
  <c r="C19" i="3"/>
  <c r="B22" i="3"/>
  <c r="B19" i="3"/>
  <c r="B18" i="2"/>
  <c r="F23" i="3" l="1"/>
  <c r="F25" i="3"/>
  <c r="F26" i="3" s="1"/>
  <c r="F31" i="3"/>
  <c r="E23" i="3"/>
  <c r="E25" i="3"/>
  <c r="E26" i="3" s="1"/>
  <c r="E31" i="3"/>
  <c r="D23" i="3"/>
  <c r="D25" i="3"/>
  <c r="D26" i="3" s="1"/>
  <c r="D31" i="3"/>
  <c r="C23" i="3"/>
  <c r="C25" i="3"/>
  <c r="C26" i="3" s="1"/>
  <c r="C31" i="3"/>
  <c r="B31" i="3"/>
  <c r="B32" i="3" s="1"/>
  <c r="C32" i="3" s="1"/>
  <c r="D32" i="3" s="1"/>
  <c r="E32" i="3" s="1"/>
  <c r="F32" i="3" s="1"/>
  <c r="B25" i="3"/>
  <c r="B26" i="3" s="1"/>
  <c r="B23" i="3"/>
  <c r="B21" i="2"/>
  <c r="B22" i="2" s="1"/>
  <c r="B19" i="2"/>
</calcChain>
</file>

<file path=xl/sharedStrings.xml><?xml version="1.0" encoding="utf-8"?>
<sst xmlns="http://schemas.openxmlformats.org/spreadsheetml/2006/main" count="173" uniqueCount="167">
  <si>
    <t>eVTOL OPERATOR — UNIT ECONOMICS MODEL  |  ASSUMPTIONS</t>
  </si>
  <si>
    <t>Blue = hardcoded input | Black = formula | All monetary values in £ unless stated | Analyst: Yassin Al-Yassin | March 2026</t>
  </si>
  <si>
    <t>Blue = Hardcoded input</t>
  </si>
  <si>
    <t>Black = Formula</t>
  </si>
  <si>
    <t>Green = Cross-sheet link</t>
  </si>
  <si>
    <t>AIRCRAFT ASSUMPTIONS</t>
  </si>
  <si>
    <t xml:space="preserve">  Aircraft Type</t>
  </si>
  <si>
    <t>Joby S4</t>
  </si>
  <si>
    <t>Leading eVTOL; 4-pax, 200km range</t>
  </si>
  <si>
    <t xml:space="preserve">  Seats per Aircraft</t>
  </si>
  <si>
    <t>Passenger seats (excl. pilot)</t>
  </si>
  <si>
    <t xml:space="preserve">  Aircraft Purchase Price (£m)</t>
  </si>
  <si>
    <t>Est. OEM list price at scale</t>
  </si>
  <si>
    <t xml:space="preserve">  Useful Life (years)</t>
  </si>
  <si>
    <t>Conservative; subject to cert. history</t>
  </si>
  <si>
    <t xml:space="preserve">  Residual Value % of Cost</t>
  </si>
  <si>
    <t>10% salvage</t>
  </si>
  <si>
    <t xml:space="preserve">  Annual Depreciation (£)</t>
  </si>
  <si>
    <t xml:space="preserve"> (Cost - Residual) / Life</t>
  </si>
  <si>
    <t xml:space="preserve">  Max Flight Hours per Day</t>
  </si>
  <si>
    <t>Operations window (6am–10pm)</t>
  </si>
  <si>
    <t xml:space="preserve">  Turnaround Time (mins)</t>
  </si>
  <si>
    <t>Battery swap + boarding</t>
  </si>
  <si>
    <t xml:space="preserve">  Average Flight Duration (mins)</t>
  </si>
  <si>
    <t>Typical urban route: ~30km</t>
  </si>
  <si>
    <t xml:space="preserve">  Flights per Day (theoretical)</t>
  </si>
  <si>
    <t xml:space="preserve"> 12hr x 60 / (flight + turnaround)</t>
  </si>
  <si>
    <t xml:space="preserve">  Target Utilisation Rate</t>
  </si>
  <si>
    <t>% of theoretical max; 70% = realistic yr3+</t>
  </si>
  <si>
    <t xml:space="preserve">  Effective Flights per Day</t>
  </si>
  <si>
    <t xml:space="preserve"> theoretical x utilisation</t>
  </si>
  <si>
    <t xml:space="preserve">  Operating Days per Year</t>
  </si>
  <si>
    <t>Accounting for maintenance downtime</t>
  </si>
  <si>
    <t xml:space="preserve">  Annual Flights per Aircraft</t>
  </si>
  <si>
    <t xml:space="preserve"> effective/day x days/year</t>
  </si>
  <si>
    <t>REVENUE ASSUMPTIONS</t>
  </si>
  <si>
    <t xml:space="preserve">  Average Fare per Seat (£)</t>
  </si>
  <si>
    <t>Blended: premium urban route pricing</t>
  </si>
  <si>
    <t xml:space="preserve">  Load Factor</t>
  </si>
  <si>
    <t>% seats filled per flight; 78% realistic at scale</t>
  </si>
  <si>
    <t xml:space="preserve">  Revenue per Flight (£)</t>
  </si>
  <si>
    <t xml:space="preserve"> fare x seats x load factor</t>
  </si>
  <si>
    <t xml:space="preserve">  Ancillary Revenue % of Ticket</t>
  </si>
  <si>
    <t>Baggage, booking fees</t>
  </si>
  <si>
    <t xml:space="preserve">  Total Revenue per Flight (£)</t>
  </si>
  <si>
    <t xml:space="preserve"> ticket + ancillary</t>
  </si>
  <si>
    <t>OPERATING COST ASSUMPTIONS (per flight)</t>
  </si>
  <si>
    <t xml:space="preserve">  Energy Cost per Flight (£)</t>
  </si>
  <si>
    <t>Battery charge ~35kWh; £0.22/kWh commercial rate</t>
  </si>
  <si>
    <t xml:space="preserve">  Pilot Cost per Flight (£)</t>
  </si>
  <si>
    <t>Blended pilot salary + benefits / annual flights</t>
  </si>
  <si>
    <t xml:space="preserve">  Maintenance Cost per Flight (£)</t>
  </si>
  <si>
    <t>Scheduled + unscheduled; ~£0.07/flight hr equiv</t>
  </si>
  <si>
    <t xml:space="preserve">  Landing &amp; Vertiport Fees (£)</t>
  </si>
  <si>
    <t>Vertiport slot + handling; est. CAA framework</t>
  </si>
  <si>
    <t xml:space="preserve">  Insurance per Flight (£)</t>
  </si>
  <si>
    <t>Aviation hull + liability; nascent market premium</t>
  </si>
  <si>
    <t xml:space="preserve">  Navigation / ATC fees (£)</t>
  </si>
  <si>
    <t>UTM / U-space service charges</t>
  </si>
  <si>
    <t xml:space="preserve">  Other Variable Costs (£)</t>
  </si>
  <si>
    <t>Cleaning, comms, sundry</t>
  </si>
  <si>
    <t xml:space="preserve">  Total Variable Cost per Flight (£)</t>
  </si>
  <si>
    <t>Sum of above</t>
  </si>
  <si>
    <t>ANNUAL FIXED COSTS (per aircraft)</t>
  </si>
  <si>
    <t>Linked from aircraft assumptions above</t>
  </si>
  <si>
    <t xml:space="preserve">  Base Salary Overhead (£/yr)</t>
  </si>
  <si>
    <t>Operations, dispatch, safety mgmt staff</t>
  </si>
  <si>
    <t xml:space="preserve">  Software &amp; Fleet Mgmt (£/yr)</t>
  </si>
  <si>
    <t>UTM integration, ops software</t>
  </si>
  <si>
    <t xml:space="preserve">  Regulatory &amp; Certification (£/yr)</t>
  </si>
  <si>
    <t>CAA ongoing cert., safety audits</t>
  </si>
  <si>
    <t xml:space="preserve">  Overhead Allocation (£/yr)</t>
  </si>
  <si>
    <t>HQ, admin, marketing allocation</t>
  </si>
  <si>
    <t xml:space="preserve">  Total Annual Fixed Cost (£)</t>
  </si>
  <si>
    <t>FLEET &amp; RAMP-UP ASSUMPTIONS</t>
  </si>
  <si>
    <t xml:space="preserve">  Year 1 Aircraft</t>
  </si>
  <si>
    <t>Pilot fleet; 2 routes</t>
  </si>
  <si>
    <t xml:space="preserve">  Year 2 Aircraft</t>
  </si>
  <si>
    <t>Expand to 5 vertiports</t>
  </si>
  <si>
    <t xml:space="preserve">  Year 3 Aircraft</t>
  </si>
  <si>
    <t>Network density phase</t>
  </si>
  <si>
    <t xml:space="preserve">  Year 4 Aircraft</t>
  </si>
  <si>
    <t>Regional expansion</t>
  </si>
  <si>
    <t xml:space="preserve">  Year 5 Aircraft</t>
  </si>
  <si>
    <t>Scale target</t>
  </si>
  <si>
    <t xml:space="preserve">  Year 1 Utilisation</t>
  </si>
  <si>
    <t>Ramp-up; ops learning curve</t>
  </si>
  <si>
    <t xml:space="preserve">  Year 2 Utilisation</t>
  </si>
  <si>
    <t xml:space="preserve">  Year 3 Utilisation</t>
  </si>
  <si>
    <t>Matches base assumption</t>
  </si>
  <si>
    <t xml:space="preserve">  Year 4 Utilisation</t>
  </si>
  <si>
    <t xml:space="preserve">  Year 5 Utilisation</t>
  </si>
  <si>
    <t>Near steady-state</t>
  </si>
  <si>
    <t>eVTOL OPERATOR — UNIT ECONOMICS (PER AIRCRAFT, PER YEAR)</t>
  </si>
  <si>
    <t>All values per single aircraft | Green = cross-sheet link | Based on Assumptions tab</t>
  </si>
  <si>
    <t>REVENUE</t>
  </si>
  <si>
    <t>Annual Revenue per Aircraft (£)</t>
  </si>
  <si>
    <t>VARIABLE COSTS</t>
  </si>
  <si>
    <t xml:space="preserve">  Variable Cost per Flight (£)</t>
  </si>
  <si>
    <t>Total Variable Cost per Year (£)</t>
  </si>
  <si>
    <t xml:space="preserve">  Variable Cost % Revenue</t>
  </si>
  <si>
    <t>CONTRIBUTION &amp; FIXED COSTS</t>
  </si>
  <si>
    <t>Contribution per Flight (£)</t>
  </si>
  <si>
    <t xml:space="preserve">  Contribution Margin %</t>
  </si>
  <si>
    <t xml:space="preserve">  Total Annual Fixed Costs (£)</t>
  </si>
  <si>
    <t>EBITDA per Aircraft (£)</t>
  </si>
  <si>
    <t xml:space="preserve">  EBITDA Margin %</t>
  </si>
  <si>
    <t xml:space="preserve">  Depreciation (£)</t>
  </si>
  <si>
    <t>EBIT per Aircraft (£)</t>
  </si>
  <si>
    <t xml:space="preserve">  EBIT Margin %</t>
  </si>
  <si>
    <t>BREAKEVEN ANALYSIS</t>
  </si>
  <si>
    <t>Breakeven Flights per Year</t>
  </si>
  <si>
    <t>Fixed costs / contribution per flight</t>
  </si>
  <si>
    <t xml:space="preserve">  Breakeven as % of Annual Capacity</t>
  </si>
  <si>
    <t>Breakeven flights / annual flights</t>
  </si>
  <si>
    <t xml:space="preserve">  Breakeven Utilisation Rate</t>
  </si>
  <si>
    <t>At what utilisation does the aircraft break even</t>
  </si>
  <si>
    <t xml:space="preserve">  Margin of Safety</t>
  </si>
  <si>
    <t>(Actual − Breakeven) / Actual flights</t>
  </si>
  <si>
    <t>eVTOL OPERATOR — 5-YEAR P&amp;L PROJECTION (£)</t>
  </si>
  <si>
    <t>Fleet ramp-up model | Per-aircraft economics × fleet size | All values in £</t>
  </si>
  <si>
    <t>Year 1</t>
  </si>
  <si>
    <t>Year 2</t>
  </si>
  <si>
    <t>Year 3</t>
  </si>
  <si>
    <t>Year 4</t>
  </si>
  <si>
    <t>Year 5</t>
  </si>
  <si>
    <t>FLEET</t>
  </si>
  <si>
    <t xml:space="preserve">  Aircraft in Fleet</t>
  </si>
  <si>
    <t xml:space="preserve">  Utilisation Rate</t>
  </si>
  <si>
    <t xml:space="preserve">  Flights per Aircraft per Year</t>
  </si>
  <si>
    <t xml:space="preserve">  Total Fleet Flights per Year</t>
  </si>
  <si>
    <t>REVENUE (£)</t>
  </si>
  <si>
    <t>Total Revenue (£)</t>
  </si>
  <si>
    <t xml:space="preserve">    YoY Revenue Growth</t>
  </si>
  <si>
    <t>—</t>
  </si>
  <si>
    <t>COSTS (£)</t>
  </si>
  <si>
    <t xml:space="preserve">  Variable Costs (£)</t>
  </si>
  <si>
    <t xml:space="preserve">  Fixed Costs (£)</t>
  </si>
  <si>
    <t>Total Costs (£)</t>
  </si>
  <si>
    <t>PROFITABILITY (£)</t>
  </si>
  <si>
    <t>EBITDA (£)</t>
  </si>
  <si>
    <t xml:space="preserve">    EBITDA Margin</t>
  </si>
  <si>
    <t>EBIT (£)</t>
  </si>
  <si>
    <t xml:space="preserve">    EBIT Margin</t>
  </si>
  <si>
    <t>CAPEX &amp; CASH</t>
  </si>
  <si>
    <t xml:space="preserve">  Aircraft Additions</t>
  </si>
  <si>
    <t xml:space="preserve">  Capex — Aircraft (£)</t>
  </si>
  <si>
    <t>Operating Cash Flow (EBITDA − Capex) (£)</t>
  </si>
  <si>
    <t>Cumulative Cash Position (£)</t>
  </si>
  <si>
    <t>SENSITIVITY — EBIT PER AIRCRAFT (£) vs FARE &amp; UTILISATION</t>
  </si>
  <si>
    <t>Green = profitable | Red = loss-making | Amber = base case (£85 fare, 70% utilisation)</t>
  </si>
  <si>
    <t>Util \ Fare (£)</t>
  </si>
  <si>
    <t>£60</t>
  </si>
  <si>
    <t>£70</t>
  </si>
  <si>
    <t>£80</t>
  </si>
  <si>
    <t>£85</t>
  </si>
  <si>
    <t>£90</t>
  </si>
  <si>
    <t>£100</t>
  </si>
  <si>
    <t>£110</t>
  </si>
  <si>
    <t>45%</t>
  </si>
  <si>
    <t>55%</t>
  </si>
  <si>
    <t>65%</t>
  </si>
  <si>
    <t>70%</t>
  </si>
  <si>
    <t>75%</t>
  </si>
  <si>
    <t>80%</t>
  </si>
  <si>
    <t>85%</t>
  </si>
  <si>
    <t>Note: Amber = base case | Green = profitable EBIT | Red = loss-making | Per-aircraft, per-year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</si>
</sst>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int&quot;"/>
    <numFmt numFmtId="165" formatCode="#,##0.000"/>
    <numFmt numFmtId="166" formatCode="0.0%"/>
    <numFmt numFmtId="167" formatCode="0.0"/>
    <numFmt numFmtId="168" formatCode="\£#,##0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8"/>
      <color rgb="FF808080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008000"/>
      <name val="Arial"/>
      <charset val="1"/>
    </font>
    <font>
      <b/>
      <sz val="9"/>
      <color rgb="FFFFFFFF"/>
      <name val="Arial"/>
      <charset val="1"/>
    </font>
    <font>
      <sz val="9"/>
      <color rgb="FF404040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8000"/>
      <name val="Arial"/>
      <charset val="1"/>
    </font>
    <font>
      <b/>
      <sz val="9"/>
      <color rgb="FF404040"/>
      <name val="Arial"/>
      <charset val="1"/>
    </font>
    <font>
      <sz val="9"/>
      <color rgb="FF808080"/>
      <name val="Arial"/>
      <charset val="1"/>
    </font>
    <font>
      <b/>
      <sz val="9"/>
      <color rgb="FF1F3C6B"/>
      <name val="Arial"/>
      <charset val="1"/>
    </font>
    <font>
      <i/>
      <sz val="9"/>
      <color rgb="FF404040"/>
      <name val="Arial"/>
      <charset val="1"/>
    </font>
    <font>
      <sz val="8"/>
      <color rgb="FF808080"/>
      <name val="Arial"/>
      <charset val="1"/>
    </font>
    <font>
      <sz val="9"/>
      <color rgb="FFFF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C6B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D9E2F3"/>
        <bgColor rgb="FFE2EFDA"/>
      </patternFill>
    </fill>
    <fill>
      <patternFill patternType="solid">
        <fgColor rgb="FFB4C7E7"/>
        <bgColor rgb="FF99CCFF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164" fontId="8" fillId="3" borderId="0" xfId="0" applyNumberFormat="1" applyFont="1" applyFill="1" applyAlignment="1">
      <alignment horizontal="right" vertical="center"/>
    </xf>
    <xf numFmtId="165" fontId="8" fillId="3" borderId="0" xfId="0" applyNumberFormat="1" applyFont="1" applyFill="1" applyAlignment="1">
      <alignment horizontal="right" vertical="center"/>
    </xf>
    <xf numFmtId="1" fontId="8" fillId="3" borderId="0" xfId="0" applyNumberFormat="1" applyFont="1" applyFill="1" applyAlignment="1">
      <alignment horizontal="right" vertical="center"/>
    </xf>
    <xf numFmtId="166" fontId="8" fillId="3" borderId="0" xfId="0" applyNumberFormat="1" applyFont="1" applyFill="1" applyAlignment="1">
      <alignment horizontal="right" vertical="center"/>
    </xf>
    <xf numFmtId="3" fontId="9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3" fontId="8" fillId="3" borderId="0" xfId="0" applyNumberFormat="1" applyFont="1" applyFill="1" applyAlignment="1">
      <alignment horizontal="right" vertical="center"/>
    </xf>
    <xf numFmtId="3" fontId="10" fillId="4" borderId="0" xfId="0" applyNumberFormat="1" applyFont="1" applyFill="1" applyAlignment="1">
      <alignment horizontal="right"/>
    </xf>
    <xf numFmtId="3" fontId="11" fillId="0" borderId="0" xfId="0" applyNumberFormat="1" applyFont="1" applyAlignment="1">
      <alignment horizontal="right"/>
    </xf>
    <xf numFmtId="3" fontId="11" fillId="3" borderId="0" xfId="0" applyNumberFormat="1" applyFont="1" applyFill="1" applyAlignment="1">
      <alignment horizontal="right" vertical="center"/>
    </xf>
    <xf numFmtId="168" fontId="11" fillId="3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168" fontId="10" fillId="4" borderId="0" xfId="0" applyNumberFormat="1" applyFont="1" applyFill="1" applyAlignment="1">
      <alignment horizontal="right"/>
    </xf>
    <xf numFmtId="166" fontId="13" fillId="0" borderId="0" xfId="0" applyNumberFormat="1" applyFont="1" applyAlignment="1">
      <alignment horizontal="right"/>
    </xf>
    <xf numFmtId="168" fontId="10" fillId="5" borderId="0" xfId="0" applyNumberFormat="1" applyFont="1" applyFill="1" applyAlignment="1">
      <alignment horizontal="right"/>
    </xf>
    <xf numFmtId="3" fontId="10" fillId="6" borderId="0" xfId="0" applyNumberFormat="1" applyFont="1" applyFill="1" applyAlignment="1">
      <alignment horizontal="right"/>
    </xf>
    <xf numFmtId="0" fontId="9" fillId="7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1" fontId="11" fillId="7" borderId="0" xfId="0" applyNumberFormat="1" applyFont="1" applyFill="1" applyAlignment="1">
      <alignment horizontal="right" vertical="center"/>
    </xf>
    <xf numFmtId="166" fontId="11" fillId="7" borderId="0" xfId="0" applyNumberFormat="1" applyFont="1" applyFill="1" applyAlignment="1">
      <alignment horizontal="right" vertical="center"/>
    </xf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right" vertical="center"/>
    </xf>
    <xf numFmtId="168" fontId="9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/>
    </xf>
    <xf numFmtId="168" fontId="17" fillId="0" borderId="0" xfId="0" applyNumberFormat="1" applyFont="1" applyAlignment="1">
      <alignment horizontal="right"/>
    </xf>
    <xf numFmtId="168" fontId="11" fillId="8" borderId="0" xfId="0" applyNumberFormat="1" applyFont="1" applyFill="1" applyAlignment="1">
      <alignment horizontal="center" vertical="center"/>
    </xf>
    <xf numFmtId="168" fontId="14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C6B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showGridLines="0" zoomScaleNormal="100" workbookViewId="0">
      <pane ySplit="3" topLeftCell="A31" activePane="bottomLeft" state="frozen"/>
      <selection pane="bottomLeft" activeCell="B58" sqref="B58"/>
    </sheetView>
  </sheetViews>
  <sheetFormatPr defaultColWidth="8.7109375" defaultRowHeight="15" x14ac:dyDescent="0.25"/>
  <cols>
    <col min="1" max="1" width="38" customWidth="1"/>
    <col min="2" max="2" width="16" customWidth="1"/>
    <col min="3" max="3" width="42" customWidth="1"/>
  </cols>
  <sheetData>
    <row r="1" spans="1:3" ht="27.75" customHeight="1" x14ac:dyDescent="0.25">
      <c r="A1" s="4" t="s">
        <v>0</v>
      </c>
      <c r="B1" s="4"/>
      <c r="C1" s="4"/>
    </row>
    <row r="2" spans="1:3" ht="15" customHeight="1" x14ac:dyDescent="0.25">
      <c r="A2" s="3" t="s">
        <v>1</v>
      </c>
      <c r="B2" s="3"/>
      <c r="C2" s="3"/>
    </row>
    <row r="4" spans="1:3" ht="15" customHeight="1" x14ac:dyDescent="0.25">
      <c r="A4" s="5" t="s">
        <v>2</v>
      </c>
    </row>
    <row r="5" spans="1:3" ht="15" customHeight="1" x14ac:dyDescent="0.25">
      <c r="A5" s="6" t="s">
        <v>3</v>
      </c>
    </row>
    <row r="6" spans="1:3" ht="15" customHeight="1" x14ac:dyDescent="0.25">
      <c r="A6" s="7" t="s">
        <v>4</v>
      </c>
    </row>
    <row r="8" spans="1:3" ht="15" customHeight="1" x14ac:dyDescent="0.25">
      <c r="A8" s="2" t="s">
        <v>5</v>
      </c>
      <c r="B8" s="2"/>
      <c r="C8" s="2"/>
    </row>
    <row r="9" spans="1:3" ht="15" customHeight="1" x14ac:dyDescent="0.25">
      <c r="A9" s="8" t="s">
        <v>6</v>
      </c>
      <c r="B9" s="9" t="s">
        <v>7</v>
      </c>
      <c r="C9" s="10" t="s">
        <v>8</v>
      </c>
    </row>
    <row r="10" spans="1:3" ht="15" customHeight="1" x14ac:dyDescent="0.25">
      <c r="A10" s="8" t="s">
        <v>9</v>
      </c>
      <c r="B10" s="11">
        <v>4</v>
      </c>
      <c r="C10" s="10" t="s">
        <v>10</v>
      </c>
    </row>
    <row r="11" spans="1:3" ht="15" customHeight="1" x14ac:dyDescent="0.25">
      <c r="A11" s="8" t="s">
        <v>11</v>
      </c>
      <c r="B11" s="12">
        <v>2.2000000000000002</v>
      </c>
      <c r="C11" s="10" t="s">
        <v>12</v>
      </c>
    </row>
    <row r="12" spans="1:3" ht="15" customHeight="1" x14ac:dyDescent="0.25">
      <c r="A12" s="8" t="s">
        <v>13</v>
      </c>
      <c r="B12" s="13">
        <v>15</v>
      </c>
      <c r="C12" s="10" t="s">
        <v>14</v>
      </c>
    </row>
    <row r="13" spans="1:3" ht="15" customHeight="1" x14ac:dyDescent="0.25">
      <c r="A13" s="8" t="s">
        <v>15</v>
      </c>
      <c r="B13" s="14">
        <v>0.1</v>
      </c>
      <c r="C13" s="10" t="s">
        <v>16</v>
      </c>
    </row>
    <row r="14" spans="1:3" ht="15" customHeight="1" x14ac:dyDescent="0.25">
      <c r="A14" s="8" t="s">
        <v>17</v>
      </c>
      <c r="B14" s="15">
        <f>(B11*1000000*(1-B13))/B12</f>
        <v>132000</v>
      </c>
      <c r="C14" s="10" t="s">
        <v>18</v>
      </c>
    </row>
    <row r="15" spans="1:3" ht="15" customHeight="1" x14ac:dyDescent="0.25">
      <c r="A15" s="8" t="s">
        <v>19</v>
      </c>
      <c r="B15" s="13">
        <v>12</v>
      </c>
      <c r="C15" s="10" t="s">
        <v>20</v>
      </c>
    </row>
    <row r="16" spans="1:3" ht="15" customHeight="1" x14ac:dyDescent="0.25">
      <c r="A16" s="8" t="s">
        <v>21</v>
      </c>
      <c r="B16" s="13">
        <v>10</v>
      </c>
      <c r="C16" s="10" t="s">
        <v>22</v>
      </c>
    </row>
    <row r="17" spans="1:3" ht="15" customHeight="1" x14ac:dyDescent="0.25">
      <c r="A17" s="8" t="s">
        <v>23</v>
      </c>
      <c r="B17" s="13">
        <v>22</v>
      </c>
      <c r="C17" s="10" t="s">
        <v>24</v>
      </c>
    </row>
    <row r="18" spans="1:3" ht="15" customHeight="1" x14ac:dyDescent="0.25">
      <c r="A18" s="8" t="s">
        <v>25</v>
      </c>
      <c r="B18" s="16">
        <f>(B15*60)/(B17+B16)</f>
        <v>22.5</v>
      </c>
      <c r="C18" s="10" t="s">
        <v>26</v>
      </c>
    </row>
    <row r="19" spans="1:3" ht="15" customHeight="1" x14ac:dyDescent="0.25">
      <c r="A19" s="8" t="s">
        <v>27</v>
      </c>
      <c r="B19" s="14">
        <v>0.7</v>
      </c>
      <c r="C19" s="10" t="s">
        <v>28</v>
      </c>
    </row>
    <row r="20" spans="1:3" ht="15" customHeight="1" x14ac:dyDescent="0.25">
      <c r="A20" s="8" t="s">
        <v>29</v>
      </c>
      <c r="B20" s="16">
        <f>B18*B19</f>
        <v>15.749999999999998</v>
      </c>
      <c r="C20" s="10" t="s">
        <v>30</v>
      </c>
    </row>
    <row r="21" spans="1:3" ht="15" customHeight="1" x14ac:dyDescent="0.25">
      <c r="A21" s="8" t="s">
        <v>31</v>
      </c>
      <c r="B21" s="13">
        <v>330</v>
      </c>
      <c r="C21" s="10" t="s">
        <v>32</v>
      </c>
    </row>
    <row r="22" spans="1:3" ht="15" customHeight="1" x14ac:dyDescent="0.25">
      <c r="A22" s="8" t="s">
        <v>33</v>
      </c>
      <c r="B22" s="15">
        <f>B20*B21</f>
        <v>5197.4999999999991</v>
      </c>
      <c r="C22" s="10" t="s">
        <v>34</v>
      </c>
    </row>
    <row r="24" spans="1:3" ht="15" customHeight="1" x14ac:dyDescent="0.25">
      <c r="A24" s="2" t="s">
        <v>35</v>
      </c>
      <c r="B24" s="2"/>
      <c r="C24" s="2"/>
    </row>
    <row r="25" spans="1:3" ht="15" customHeight="1" x14ac:dyDescent="0.25">
      <c r="A25" s="8" t="s">
        <v>36</v>
      </c>
      <c r="B25" s="17">
        <v>85</v>
      </c>
      <c r="C25" s="10" t="s">
        <v>37</v>
      </c>
    </row>
    <row r="26" spans="1:3" ht="15" customHeight="1" x14ac:dyDescent="0.25">
      <c r="A26" s="8" t="s">
        <v>38</v>
      </c>
      <c r="B26" s="14">
        <v>0.78</v>
      </c>
      <c r="C26" s="10" t="s">
        <v>39</v>
      </c>
    </row>
    <row r="27" spans="1:3" ht="15" customHeight="1" x14ac:dyDescent="0.25">
      <c r="A27" s="8" t="s">
        <v>40</v>
      </c>
      <c r="B27" s="15">
        <f>B25*B10*B26</f>
        <v>265.2</v>
      </c>
      <c r="C27" s="10" t="s">
        <v>41</v>
      </c>
    </row>
    <row r="28" spans="1:3" ht="15" customHeight="1" x14ac:dyDescent="0.25">
      <c r="A28" s="8" t="s">
        <v>42</v>
      </c>
      <c r="B28" s="14">
        <v>0.05</v>
      </c>
      <c r="C28" s="10" t="s">
        <v>43</v>
      </c>
    </row>
    <row r="29" spans="1:3" ht="15" customHeight="1" x14ac:dyDescent="0.25">
      <c r="A29" s="8" t="s">
        <v>44</v>
      </c>
      <c r="B29" s="15">
        <f>B27*(1+B28)</f>
        <v>278.45999999999998</v>
      </c>
      <c r="C29" s="10" t="s">
        <v>45</v>
      </c>
    </row>
    <row r="31" spans="1:3" ht="15" customHeight="1" x14ac:dyDescent="0.25">
      <c r="A31" s="2" t="s">
        <v>46</v>
      </c>
      <c r="B31" s="2"/>
      <c r="C31" s="2"/>
    </row>
    <row r="32" spans="1:3" ht="15" customHeight="1" x14ac:dyDescent="0.25">
      <c r="A32" s="8" t="s">
        <v>47</v>
      </c>
      <c r="B32" s="17">
        <v>8</v>
      </c>
      <c r="C32" s="10" t="s">
        <v>48</v>
      </c>
    </row>
    <row r="33" spans="1:3" ht="15" customHeight="1" x14ac:dyDescent="0.25">
      <c r="A33" s="8" t="s">
        <v>49</v>
      </c>
      <c r="B33" s="17">
        <v>28</v>
      </c>
      <c r="C33" s="10" t="s">
        <v>50</v>
      </c>
    </row>
    <row r="34" spans="1:3" ht="15" customHeight="1" x14ac:dyDescent="0.25">
      <c r="A34" s="8" t="s">
        <v>51</v>
      </c>
      <c r="B34" s="17">
        <v>14</v>
      </c>
      <c r="C34" s="10" t="s">
        <v>52</v>
      </c>
    </row>
    <row r="35" spans="1:3" ht="15" customHeight="1" x14ac:dyDescent="0.25">
      <c r="A35" s="8" t="s">
        <v>53</v>
      </c>
      <c r="B35" s="17">
        <v>12</v>
      </c>
      <c r="C35" s="10" t="s">
        <v>54</v>
      </c>
    </row>
    <row r="36" spans="1:3" ht="15" customHeight="1" x14ac:dyDescent="0.25">
      <c r="A36" s="8" t="s">
        <v>55</v>
      </c>
      <c r="B36" s="17">
        <v>6</v>
      </c>
      <c r="C36" s="10" t="s">
        <v>56</v>
      </c>
    </row>
    <row r="37" spans="1:3" ht="15" customHeight="1" x14ac:dyDescent="0.25">
      <c r="A37" s="8" t="s">
        <v>57</v>
      </c>
      <c r="B37" s="17">
        <v>4</v>
      </c>
      <c r="C37" s="10" t="s">
        <v>58</v>
      </c>
    </row>
    <row r="38" spans="1:3" ht="15" customHeight="1" x14ac:dyDescent="0.25">
      <c r="A38" s="8" t="s">
        <v>59</v>
      </c>
      <c r="B38" s="17">
        <v>5</v>
      </c>
      <c r="C38" s="10" t="s">
        <v>60</v>
      </c>
    </row>
    <row r="39" spans="1:3" ht="15" customHeight="1" x14ac:dyDescent="0.25">
      <c r="A39" s="8" t="s">
        <v>61</v>
      </c>
      <c r="B39" s="18">
        <f>B32+B33+B34+B35+B36+B37+B38</f>
        <v>77</v>
      </c>
      <c r="C39" s="10" t="s">
        <v>62</v>
      </c>
    </row>
    <row r="41" spans="1:3" ht="15" customHeight="1" x14ac:dyDescent="0.25">
      <c r="A41" s="2" t="s">
        <v>63</v>
      </c>
      <c r="B41" s="2"/>
      <c r="C41" s="2"/>
    </row>
    <row r="42" spans="1:3" ht="15" customHeight="1" x14ac:dyDescent="0.25">
      <c r="A42" s="8" t="s">
        <v>17</v>
      </c>
      <c r="B42" s="19">
        <f>B14</f>
        <v>132000</v>
      </c>
      <c r="C42" s="10" t="s">
        <v>64</v>
      </c>
    </row>
    <row r="43" spans="1:3" ht="15" customHeight="1" x14ac:dyDescent="0.25">
      <c r="A43" s="8" t="s">
        <v>65</v>
      </c>
      <c r="B43" s="17">
        <v>45000</v>
      </c>
      <c r="C43" s="10" t="s">
        <v>66</v>
      </c>
    </row>
    <row r="44" spans="1:3" ht="15" customHeight="1" x14ac:dyDescent="0.25">
      <c r="A44" s="8" t="s">
        <v>67</v>
      </c>
      <c r="B44" s="17">
        <v>8000</v>
      </c>
      <c r="C44" s="10" t="s">
        <v>68</v>
      </c>
    </row>
    <row r="45" spans="1:3" ht="15" customHeight="1" x14ac:dyDescent="0.25">
      <c r="A45" s="8" t="s">
        <v>69</v>
      </c>
      <c r="B45" s="17">
        <v>12000</v>
      </c>
      <c r="C45" s="10" t="s">
        <v>70</v>
      </c>
    </row>
    <row r="46" spans="1:3" ht="15" customHeight="1" x14ac:dyDescent="0.25">
      <c r="A46" s="8" t="s">
        <v>71</v>
      </c>
      <c r="B46" s="17">
        <v>15000</v>
      </c>
      <c r="C46" s="10" t="s">
        <v>72</v>
      </c>
    </row>
    <row r="47" spans="1:3" ht="15" customHeight="1" x14ac:dyDescent="0.25">
      <c r="A47" s="8" t="s">
        <v>73</v>
      </c>
      <c r="B47" s="18">
        <f>B42+B43+B44+B45+B46</f>
        <v>212000</v>
      </c>
      <c r="C47" s="10" t="s">
        <v>62</v>
      </c>
    </row>
    <row r="49" spans="1:3" ht="15" customHeight="1" x14ac:dyDescent="0.25">
      <c r="A49" s="2" t="s">
        <v>74</v>
      </c>
      <c r="B49" s="2"/>
      <c r="C49" s="2"/>
    </row>
    <row r="50" spans="1:3" ht="15" customHeight="1" x14ac:dyDescent="0.25">
      <c r="A50" s="8" t="s">
        <v>75</v>
      </c>
      <c r="B50" s="13">
        <v>2</v>
      </c>
      <c r="C50" s="10" t="s">
        <v>76</v>
      </c>
    </row>
    <row r="51" spans="1:3" ht="15" customHeight="1" x14ac:dyDescent="0.25">
      <c r="A51" s="8" t="s">
        <v>77</v>
      </c>
      <c r="B51" s="13">
        <v>5</v>
      </c>
      <c r="C51" s="10" t="s">
        <v>78</v>
      </c>
    </row>
    <row r="52" spans="1:3" ht="15" customHeight="1" x14ac:dyDescent="0.25">
      <c r="A52" s="8" t="s">
        <v>79</v>
      </c>
      <c r="B52" s="13">
        <v>12</v>
      </c>
      <c r="C52" s="10" t="s">
        <v>80</v>
      </c>
    </row>
    <row r="53" spans="1:3" ht="15" customHeight="1" x14ac:dyDescent="0.25">
      <c r="A53" s="8" t="s">
        <v>81</v>
      </c>
      <c r="B53" s="13">
        <v>25</v>
      </c>
      <c r="C53" s="10" t="s">
        <v>82</v>
      </c>
    </row>
    <row r="54" spans="1:3" ht="15" customHeight="1" x14ac:dyDescent="0.25">
      <c r="A54" s="8" t="s">
        <v>83</v>
      </c>
      <c r="B54" s="13">
        <v>40</v>
      </c>
      <c r="C54" s="10" t="s">
        <v>84</v>
      </c>
    </row>
    <row r="55" spans="1:3" ht="15" customHeight="1" x14ac:dyDescent="0.25">
      <c r="A55" s="8" t="s">
        <v>85</v>
      </c>
      <c r="B55" s="14">
        <v>0.45</v>
      </c>
      <c r="C55" s="10" t="s">
        <v>86</v>
      </c>
    </row>
    <row r="56" spans="1:3" ht="15" customHeight="1" x14ac:dyDescent="0.25">
      <c r="A56" s="8" t="s">
        <v>87</v>
      </c>
      <c r="B56" s="14">
        <v>0.57999999999999996</v>
      </c>
      <c r="C56" s="10"/>
    </row>
    <row r="57" spans="1:3" ht="15" customHeight="1" x14ac:dyDescent="0.25">
      <c r="A57" s="8" t="s">
        <v>88</v>
      </c>
      <c r="B57" s="14">
        <v>0.7</v>
      </c>
      <c r="C57" s="10" t="s">
        <v>89</v>
      </c>
    </row>
    <row r="58" spans="1:3" ht="15" customHeight="1" x14ac:dyDescent="0.25">
      <c r="A58" s="8" t="s">
        <v>90</v>
      </c>
      <c r="B58" s="14">
        <v>0.75</v>
      </c>
      <c r="C58" s="10"/>
    </row>
    <row r="59" spans="1:3" ht="15" customHeight="1" x14ac:dyDescent="0.25">
      <c r="A59" s="8" t="s">
        <v>91</v>
      </c>
      <c r="B59" s="14">
        <v>0.78</v>
      </c>
      <c r="C59" s="10" t="s">
        <v>92</v>
      </c>
    </row>
  </sheetData>
  <mergeCells count="7">
    <mergeCell ref="A41:C41"/>
    <mergeCell ref="A49:C49"/>
    <mergeCell ref="A1:C1"/>
    <mergeCell ref="A2:C2"/>
    <mergeCell ref="A8:C8"/>
    <mergeCell ref="A24:C24"/>
    <mergeCell ref="A31:C3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showGridLines="0" zoomScaleNormal="100" workbookViewId="0">
      <pane ySplit="3" topLeftCell="A4" activePane="bottomLeft" state="frozen"/>
      <selection pane="bottomLeft" sqref="A1:C1"/>
    </sheetView>
  </sheetViews>
  <sheetFormatPr defaultColWidth="8.7109375" defaultRowHeight="15" x14ac:dyDescent="0.25"/>
  <cols>
    <col min="1" max="1" width="36" customWidth="1"/>
    <col min="2" max="3" width="18" customWidth="1"/>
  </cols>
  <sheetData>
    <row r="1" spans="1:3" ht="27.75" customHeight="1" x14ac:dyDescent="0.25">
      <c r="A1" s="4" t="s">
        <v>93</v>
      </c>
      <c r="B1" s="4"/>
      <c r="C1" s="4"/>
    </row>
    <row r="2" spans="1:3" ht="15" customHeight="1" x14ac:dyDescent="0.25">
      <c r="A2" s="3" t="s">
        <v>94</v>
      </c>
      <c r="B2" s="3"/>
      <c r="C2" s="3"/>
    </row>
    <row r="4" spans="1:3" ht="15" customHeight="1" x14ac:dyDescent="0.25">
      <c r="A4" s="2" t="s">
        <v>95</v>
      </c>
      <c r="B4" s="2"/>
      <c r="C4" s="2"/>
    </row>
    <row r="5" spans="1:3" ht="15" customHeight="1" x14ac:dyDescent="0.25">
      <c r="A5" s="8" t="s">
        <v>33</v>
      </c>
      <c r="B5" s="20">
        <f>Assumptions!B22</f>
        <v>5197.4999999999991</v>
      </c>
    </row>
    <row r="6" spans="1:3" ht="15" customHeight="1" x14ac:dyDescent="0.25">
      <c r="A6" s="8" t="s">
        <v>44</v>
      </c>
      <c r="B6" s="21">
        <f>Assumptions!B29</f>
        <v>278.45999999999998</v>
      </c>
    </row>
    <row r="7" spans="1:3" ht="15" customHeight="1" x14ac:dyDescent="0.25">
      <c r="A7" s="22" t="s">
        <v>96</v>
      </c>
      <c r="B7" s="23">
        <f>B5*B6</f>
        <v>1447295.8499999996</v>
      </c>
    </row>
    <row r="9" spans="1:3" ht="15" customHeight="1" x14ac:dyDescent="0.25">
      <c r="A9" s="2" t="s">
        <v>97</v>
      </c>
      <c r="B9" s="2"/>
      <c r="C9" s="2"/>
    </row>
    <row r="10" spans="1:3" ht="15" customHeight="1" x14ac:dyDescent="0.25">
      <c r="A10" s="8" t="s">
        <v>98</v>
      </c>
      <c r="B10" s="21">
        <f>Assumptions!B39</f>
        <v>77</v>
      </c>
    </row>
    <row r="11" spans="1:3" ht="15" customHeight="1" x14ac:dyDescent="0.25">
      <c r="A11" s="22" t="s">
        <v>99</v>
      </c>
      <c r="B11" s="23">
        <f>B5*B10</f>
        <v>400207.49999999994</v>
      </c>
    </row>
    <row r="12" spans="1:3" ht="15" customHeight="1" x14ac:dyDescent="0.25">
      <c r="A12" s="8" t="s">
        <v>100</v>
      </c>
      <c r="B12" s="24">
        <f>B11/B7</f>
        <v>0.27652086475615889</v>
      </c>
    </row>
    <row r="14" spans="1:3" ht="15" customHeight="1" x14ac:dyDescent="0.25">
      <c r="A14" s="2" t="s">
        <v>101</v>
      </c>
      <c r="B14" s="2"/>
      <c r="C14" s="2"/>
    </row>
    <row r="15" spans="1:3" ht="15" customHeight="1" x14ac:dyDescent="0.25">
      <c r="A15" s="22" t="s">
        <v>102</v>
      </c>
      <c r="B15" s="23">
        <f>B6-B10</f>
        <v>201.45999999999998</v>
      </c>
    </row>
    <row r="16" spans="1:3" ht="15" customHeight="1" x14ac:dyDescent="0.25">
      <c r="A16" s="8" t="s">
        <v>103</v>
      </c>
      <c r="B16" s="24">
        <f>B15/B6</f>
        <v>0.72347913524384111</v>
      </c>
    </row>
    <row r="17" spans="1:3" ht="15" customHeight="1" x14ac:dyDescent="0.25">
      <c r="A17" s="8" t="s">
        <v>104</v>
      </c>
      <c r="B17" s="21">
        <f>Assumptions!B47</f>
        <v>212000</v>
      </c>
    </row>
    <row r="18" spans="1:3" ht="15" customHeight="1" x14ac:dyDescent="0.25">
      <c r="A18" s="22" t="s">
        <v>105</v>
      </c>
      <c r="B18" s="25">
        <f>B7-B11-B17</f>
        <v>835088.34999999963</v>
      </c>
    </row>
    <row r="19" spans="1:3" ht="15" customHeight="1" x14ac:dyDescent="0.25">
      <c r="A19" s="8" t="s">
        <v>106</v>
      </c>
      <c r="B19" s="24">
        <f>B18/B7</f>
        <v>0.57699906346031449</v>
      </c>
    </row>
    <row r="20" spans="1:3" ht="15" customHeight="1" x14ac:dyDescent="0.25">
      <c r="A20" s="8" t="s">
        <v>107</v>
      </c>
      <c r="B20" s="21">
        <f>Assumptions!B14</f>
        <v>132000</v>
      </c>
    </row>
    <row r="21" spans="1:3" ht="15" customHeight="1" x14ac:dyDescent="0.25">
      <c r="A21" s="22" t="s">
        <v>108</v>
      </c>
      <c r="B21" s="25">
        <f>B18-B20</f>
        <v>703088.34999999963</v>
      </c>
    </row>
    <row r="22" spans="1:3" ht="15" customHeight="1" x14ac:dyDescent="0.25">
      <c r="A22" s="8" t="s">
        <v>109</v>
      </c>
      <c r="B22" s="24">
        <f>B21/B7</f>
        <v>0.48579449046302442</v>
      </c>
    </row>
    <row r="25" spans="1:3" ht="15" customHeight="1" x14ac:dyDescent="0.25">
      <c r="A25" s="2" t="s">
        <v>110</v>
      </c>
      <c r="B25" s="2"/>
      <c r="C25" s="2"/>
    </row>
    <row r="26" spans="1:3" ht="15" customHeight="1" x14ac:dyDescent="0.25">
      <c r="A26" s="22" t="s">
        <v>111</v>
      </c>
      <c r="B26" s="26">
        <f>B17/B15</f>
        <v>1052.3180780303783</v>
      </c>
      <c r="C26" s="10" t="s">
        <v>112</v>
      </c>
    </row>
    <row r="27" spans="1:3" ht="15" customHeight="1" x14ac:dyDescent="0.25">
      <c r="A27" s="8" t="s">
        <v>113</v>
      </c>
      <c r="B27" s="24">
        <f>B26/B5</f>
        <v>0.20246620067924551</v>
      </c>
      <c r="C27" s="10" t="s">
        <v>114</v>
      </c>
    </row>
    <row r="28" spans="1:3" ht="15" customHeight="1" x14ac:dyDescent="0.25">
      <c r="A28" s="8" t="s">
        <v>115</v>
      </c>
      <c r="B28" s="24">
        <f>B26/(Assumptions!B18*Assumptions!B21)</f>
        <v>0.14172634047547183</v>
      </c>
      <c r="C28" s="10" t="s">
        <v>116</v>
      </c>
    </row>
    <row r="29" spans="1:3" ht="15" customHeight="1" x14ac:dyDescent="0.25">
      <c r="A29" s="8" t="s">
        <v>117</v>
      </c>
      <c r="B29" s="24">
        <f>(B5-B26)/B5</f>
        <v>0.79753379932075452</v>
      </c>
      <c r="C29" s="10" t="s">
        <v>118</v>
      </c>
    </row>
  </sheetData>
  <mergeCells count="6">
    <mergeCell ref="A25:C25"/>
    <mergeCell ref="A1:C1"/>
    <mergeCell ref="A2:C2"/>
    <mergeCell ref="A4:C4"/>
    <mergeCell ref="A9:C9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F1"/>
    </sheetView>
  </sheetViews>
  <sheetFormatPr defaultColWidth="8.7109375" defaultRowHeight="15" x14ac:dyDescent="0.25"/>
  <cols>
    <col min="1" max="1" width="34" customWidth="1"/>
    <col min="2" max="7" width="14" customWidth="1"/>
  </cols>
  <sheetData>
    <row r="1" spans="1:6" ht="27.75" customHeight="1" x14ac:dyDescent="0.25">
      <c r="A1" s="4" t="s">
        <v>119</v>
      </c>
      <c r="B1" s="4"/>
      <c r="C1" s="4"/>
      <c r="D1" s="4"/>
      <c r="E1" s="4"/>
      <c r="F1" s="4"/>
    </row>
    <row r="2" spans="1:6" ht="15" customHeight="1" x14ac:dyDescent="0.25">
      <c r="A2" s="3" t="s">
        <v>120</v>
      </c>
      <c r="B2" s="3"/>
      <c r="C2" s="3"/>
      <c r="D2" s="3"/>
      <c r="E2" s="3"/>
      <c r="F2" s="3"/>
    </row>
    <row r="4" spans="1:6" ht="15" customHeight="1" x14ac:dyDescent="0.25">
      <c r="A4" s="27"/>
      <c r="B4" s="28" t="s">
        <v>121</v>
      </c>
      <c r="C4" s="28" t="s">
        <v>122</v>
      </c>
      <c r="D4" s="28" t="s">
        <v>123</v>
      </c>
      <c r="E4" s="28" t="s">
        <v>124</v>
      </c>
      <c r="F4" s="28" t="s">
        <v>125</v>
      </c>
    </row>
    <row r="5" spans="1:6" ht="15" customHeight="1" x14ac:dyDescent="0.25">
      <c r="A5" s="2" t="s">
        <v>126</v>
      </c>
      <c r="B5" s="2"/>
      <c r="C5" s="2"/>
      <c r="D5" s="2"/>
      <c r="E5" s="2"/>
      <c r="F5" s="2"/>
    </row>
    <row r="6" spans="1:6" ht="15" customHeight="1" x14ac:dyDescent="0.25">
      <c r="A6" s="8" t="s">
        <v>127</v>
      </c>
      <c r="B6" s="29">
        <f>Assumptions!B50</f>
        <v>2</v>
      </c>
      <c r="C6" s="29">
        <f>Assumptions!B51</f>
        <v>5</v>
      </c>
      <c r="D6" s="29">
        <f>Assumptions!B52</f>
        <v>12</v>
      </c>
      <c r="E6" s="29">
        <f>Assumptions!B53</f>
        <v>25</v>
      </c>
      <c r="F6" s="29">
        <f>Assumptions!B54</f>
        <v>40</v>
      </c>
    </row>
    <row r="7" spans="1:6" ht="15" customHeight="1" x14ac:dyDescent="0.25">
      <c r="A7" s="8" t="s">
        <v>128</v>
      </c>
      <c r="B7" s="30">
        <f>Assumptions!B55</f>
        <v>0.45</v>
      </c>
      <c r="C7" s="30">
        <f>Assumptions!B56</f>
        <v>0.57999999999999996</v>
      </c>
      <c r="D7" s="30">
        <f>Assumptions!B57</f>
        <v>0.7</v>
      </c>
      <c r="E7" s="30">
        <f>Assumptions!B58</f>
        <v>0.75</v>
      </c>
      <c r="F7" s="30">
        <f>Assumptions!B59</f>
        <v>0.78</v>
      </c>
    </row>
    <row r="8" spans="1:6" ht="15" customHeight="1" x14ac:dyDescent="0.25">
      <c r="A8" s="8" t="s">
        <v>129</v>
      </c>
      <c r="B8" s="15">
        <f>Assumptions!B18*B7*Assumptions!B21</f>
        <v>3341.25</v>
      </c>
      <c r="C8" s="15">
        <f>Assumptions!B18*C7*Assumptions!B21</f>
        <v>4306.5</v>
      </c>
      <c r="D8" s="15">
        <f>Assumptions!B18*D7*Assumptions!B21</f>
        <v>5197.4999999999991</v>
      </c>
      <c r="E8" s="15">
        <f>Assumptions!B18*E7*Assumptions!B21</f>
        <v>5568.75</v>
      </c>
      <c r="F8" s="15">
        <f>Assumptions!B18*F7*Assumptions!B21</f>
        <v>5791.5</v>
      </c>
    </row>
    <row r="9" spans="1:6" ht="15" customHeight="1" x14ac:dyDescent="0.25">
      <c r="A9" s="22" t="s">
        <v>130</v>
      </c>
      <c r="B9" s="18">
        <f>B6*B8</f>
        <v>6682.5</v>
      </c>
      <c r="C9" s="18">
        <f>C6*C8</f>
        <v>21532.5</v>
      </c>
      <c r="D9" s="18">
        <f>D6*D8</f>
        <v>62369.999999999985</v>
      </c>
      <c r="E9" s="18">
        <f>E6*E8</f>
        <v>139218.75</v>
      </c>
      <c r="F9" s="18">
        <f>F6*F8</f>
        <v>231660</v>
      </c>
    </row>
    <row r="11" spans="1:6" ht="15" customHeight="1" x14ac:dyDescent="0.25">
      <c r="A11" s="2" t="s">
        <v>131</v>
      </c>
      <c r="B11" s="2"/>
      <c r="C11" s="2"/>
      <c r="D11" s="2"/>
      <c r="E11" s="2"/>
      <c r="F11" s="2"/>
    </row>
    <row r="12" spans="1:6" ht="15" customHeight="1" x14ac:dyDescent="0.25">
      <c r="A12" s="8" t="s">
        <v>40</v>
      </c>
      <c r="B12" s="21">
        <f>Assumptions!B29</f>
        <v>278.45999999999998</v>
      </c>
      <c r="C12" s="21">
        <f>Assumptions!B29</f>
        <v>278.45999999999998</v>
      </c>
      <c r="D12" s="21">
        <f>Assumptions!B29</f>
        <v>278.45999999999998</v>
      </c>
      <c r="E12" s="21">
        <f>Assumptions!B29</f>
        <v>278.45999999999998</v>
      </c>
      <c r="F12" s="21">
        <f>Assumptions!B29</f>
        <v>278.45999999999998</v>
      </c>
    </row>
    <row r="13" spans="1:6" ht="15" customHeight="1" x14ac:dyDescent="0.25">
      <c r="A13" s="22" t="s">
        <v>132</v>
      </c>
      <c r="B13" s="23">
        <f>B9*B12</f>
        <v>1860808.95</v>
      </c>
      <c r="C13" s="23">
        <f>C9*C12</f>
        <v>5995939.9499999993</v>
      </c>
      <c r="D13" s="23">
        <f>D9*D12</f>
        <v>17367550.199999996</v>
      </c>
      <c r="E13" s="23">
        <f>E9*E12</f>
        <v>38766853.125</v>
      </c>
      <c r="F13" s="23">
        <f>F9*F12</f>
        <v>64508043.599999994</v>
      </c>
    </row>
    <row r="14" spans="1:6" ht="15" customHeight="1" x14ac:dyDescent="0.25">
      <c r="A14" s="31" t="s">
        <v>133</v>
      </c>
      <c r="B14" s="32" t="s">
        <v>134</v>
      </c>
      <c r="C14" s="24">
        <f>(C13-B13)/B13</f>
        <v>2.2222222222222219</v>
      </c>
      <c r="D14" s="24">
        <f>(D13-C13)/C13</f>
        <v>1.8965517241379306</v>
      </c>
      <c r="E14" s="24">
        <f>(E13-D13)/D13</f>
        <v>1.2321428571428577</v>
      </c>
      <c r="F14" s="24">
        <f>(F13-E13)/E13</f>
        <v>0.66399999999999981</v>
      </c>
    </row>
    <row r="16" spans="1:6" ht="15" customHeight="1" x14ac:dyDescent="0.25">
      <c r="A16" s="2" t="s">
        <v>135</v>
      </c>
      <c r="B16" s="2"/>
      <c r="C16" s="2"/>
      <c r="D16" s="2"/>
      <c r="E16" s="2"/>
      <c r="F16" s="2"/>
    </row>
    <row r="17" spans="1:6" ht="15" customHeight="1" x14ac:dyDescent="0.25">
      <c r="A17" s="8" t="s">
        <v>136</v>
      </c>
      <c r="B17" s="33">
        <f>B9*Assumptions!B39</f>
        <v>514552.5</v>
      </c>
      <c r="C17" s="33">
        <f>C9*Assumptions!B39</f>
        <v>1658002.5</v>
      </c>
      <c r="D17" s="33">
        <f>D9*Assumptions!B39</f>
        <v>4802489.9999999991</v>
      </c>
      <c r="E17" s="33">
        <f>E9*Assumptions!B39</f>
        <v>10719843.75</v>
      </c>
      <c r="F17" s="33">
        <f>F9*Assumptions!B39</f>
        <v>17837820</v>
      </c>
    </row>
    <row r="18" spans="1:6" ht="15" customHeight="1" x14ac:dyDescent="0.25">
      <c r="A18" s="8" t="s">
        <v>137</v>
      </c>
      <c r="B18" s="33">
        <f>B6*Assumptions!B47</f>
        <v>424000</v>
      </c>
      <c r="C18" s="33">
        <f>C6*Assumptions!B47</f>
        <v>1060000</v>
      </c>
      <c r="D18" s="33">
        <f>D6*Assumptions!B47</f>
        <v>2544000</v>
      </c>
      <c r="E18" s="33">
        <f>E6*Assumptions!B47</f>
        <v>5300000</v>
      </c>
      <c r="F18" s="33">
        <f>F6*Assumptions!B47</f>
        <v>8480000</v>
      </c>
    </row>
    <row r="19" spans="1:6" ht="15" customHeight="1" x14ac:dyDescent="0.25">
      <c r="A19" s="22" t="s">
        <v>138</v>
      </c>
      <c r="B19" s="23">
        <f>B17+B18</f>
        <v>938552.5</v>
      </c>
      <c r="C19" s="23">
        <f>C17+C18</f>
        <v>2718002.5</v>
      </c>
      <c r="D19" s="23">
        <f>D17+D18</f>
        <v>7346489.9999999991</v>
      </c>
      <c r="E19" s="23">
        <f>E17+E18</f>
        <v>16019843.75</v>
      </c>
      <c r="F19" s="23">
        <f>F17+F18</f>
        <v>26317820</v>
      </c>
    </row>
    <row r="21" spans="1:6" ht="15" customHeight="1" x14ac:dyDescent="0.25">
      <c r="A21" s="2" t="s">
        <v>139</v>
      </c>
      <c r="B21" s="2"/>
      <c r="C21" s="2"/>
      <c r="D21" s="2"/>
      <c r="E21" s="2"/>
      <c r="F21" s="2"/>
    </row>
    <row r="22" spans="1:6" ht="15" customHeight="1" x14ac:dyDescent="0.25">
      <c r="A22" s="22" t="s">
        <v>140</v>
      </c>
      <c r="B22" s="25">
        <f>B13-B17-(B18-B6*Assumptions!B14)</f>
        <v>1186256.45</v>
      </c>
      <c r="C22" s="25">
        <f>C13-C17-(C18-C6*Assumptions!B14)</f>
        <v>3937937.4499999993</v>
      </c>
      <c r="D22" s="25">
        <f>D13-D17-(D18-D6*Assumptions!B14)</f>
        <v>11605060.199999996</v>
      </c>
      <c r="E22" s="25">
        <f>E13-E17-(E18-E6*Assumptions!B14)</f>
        <v>26047009.375</v>
      </c>
      <c r="F22" s="25">
        <f>F13-F17-(F18-F6*Assumptions!B14)</f>
        <v>43470223.599999994</v>
      </c>
    </row>
    <row r="23" spans="1:6" ht="15" customHeight="1" x14ac:dyDescent="0.25">
      <c r="A23" s="31" t="s">
        <v>141</v>
      </c>
      <c r="B23" s="24">
        <f>B22/B13</f>
        <v>0.63749502602080665</v>
      </c>
      <c r="C23" s="24">
        <f>C22/C13</f>
        <v>0.65676732636390056</v>
      </c>
      <c r="D23" s="24">
        <f>D22/D13</f>
        <v>0.66820363645760461</v>
      </c>
      <c r="E23" s="24">
        <f>E22/E13</f>
        <v>0.67188866971002048</v>
      </c>
      <c r="F23" s="24">
        <f>F22/F13</f>
        <v>0.67387291838439811</v>
      </c>
    </row>
    <row r="24" spans="1:6" ht="15" customHeight="1" x14ac:dyDescent="0.25">
      <c r="A24" s="8" t="s">
        <v>107</v>
      </c>
      <c r="B24" s="33">
        <f>B6*Assumptions!B14</f>
        <v>264000</v>
      </c>
      <c r="C24" s="33">
        <f>C6*Assumptions!B14</f>
        <v>660000</v>
      </c>
      <c r="D24" s="33">
        <f>D6*Assumptions!B14</f>
        <v>1584000</v>
      </c>
      <c r="E24" s="33">
        <f>E6*Assumptions!B14</f>
        <v>3300000</v>
      </c>
      <c r="F24" s="33">
        <f>F6*Assumptions!B14</f>
        <v>5280000</v>
      </c>
    </row>
    <row r="25" spans="1:6" ht="15" customHeight="1" x14ac:dyDescent="0.25">
      <c r="A25" s="22" t="s">
        <v>142</v>
      </c>
      <c r="B25" s="25">
        <f>B22-B24</f>
        <v>922256.45</v>
      </c>
      <c r="C25" s="25">
        <f>C22-C24</f>
        <v>3277937.4499999993</v>
      </c>
      <c r="D25" s="25">
        <f>D22-D24</f>
        <v>10021060.199999996</v>
      </c>
      <c r="E25" s="25">
        <f>E22-E24</f>
        <v>22747009.375</v>
      </c>
      <c r="F25" s="25">
        <f>F22-F24</f>
        <v>38190223.599999994</v>
      </c>
    </row>
    <row r="26" spans="1:6" ht="15" customHeight="1" x14ac:dyDescent="0.25">
      <c r="A26" s="31" t="s">
        <v>143</v>
      </c>
      <c r="B26" s="24">
        <f>IFERROR(B25/B13,0)</f>
        <v>0.49562124580279987</v>
      </c>
      <c r="C26" s="24">
        <f>IFERROR(C25/C13,0)</f>
        <v>0.54669284171199872</v>
      </c>
      <c r="D26" s="24">
        <f>IFERROR(D25/D13,0)</f>
        <v>0.57699906346031449</v>
      </c>
      <c r="E26" s="24">
        <f>IFERROR(E25/E13,0)</f>
        <v>0.58676440157921639</v>
      </c>
      <c r="F26" s="24">
        <f>IFERROR(F25/F13,0)</f>
        <v>0.59202266056631736</v>
      </c>
    </row>
    <row r="28" spans="1:6" ht="15" customHeight="1" x14ac:dyDescent="0.25">
      <c r="A28" s="2" t="s">
        <v>144</v>
      </c>
      <c r="B28" s="2"/>
      <c r="C28" s="2"/>
      <c r="D28" s="2"/>
      <c r="E28" s="2"/>
      <c r="F28" s="2"/>
    </row>
    <row r="29" spans="1:6" ht="15" customHeight="1" x14ac:dyDescent="0.25">
      <c r="A29" s="8" t="s">
        <v>145</v>
      </c>
      <c r="B29" s="34">
        <f>Assumptions!B50</f>
        <v>2</v>
      </c>
      <c r="C29" s="35">
        <f>Assumptions!B51-B6</f>
        <v>3</v>
      </c>
      <c r="D29" s="35">
        <f>Assumptions!B52-C6</f>
        <v>7</v>
      </c>
      <c r="E29" s="35">
        <f>Assumptions!B53-D6</f>
        <v>13</v>
      </c>
      <c r="F29" s="35">
        <f>Assumptions!B54-E6</f>
        <v>15</v>
      </c>
    </row>
    <row r="30" spans="1:6" ht="15" customHeight="1" x14ac:dyDescent="0.25">
      <c r="A30" s="8" t="s">
        <v>146</v>
      </c>
      <c r="B30" s="36">
        <f>B29*Assumptions!B11*1000000</f>
        <v>4400000</v>
      </c>
      <c r="C30" s="36">
        <f>C29*Assumptions!B11*1000000</f>
        <v>6600000.0000000009</v>
      </c>
      <c r="D30" s="36">
        <f>D29*Assumptions!B11*1000000</f>
        <v>15400000.000000002</v>
      </c>
      <c r="E30" s="36">
        <f>E29*Assumptions!B11*1000000</f>
        <v>28600000</v>
      </c>
      <c r="F30" s="36">
        <f>F29*Assumptions!B11*1000000</f>
        <v>33000000</v>
      </c>
    </row>
    <row r="31" spans="1:6" ht="15" customHeight="1" x14ac:dyDescent="0.25">
      <c r="A31" s="22" t="s">
        <v>147</v>
      </c>
      <c r="B31" s="23">
        <f>B22-B30</f>
        <v>-3213743.55</v>
      </c>
      <c r="C31" s="23">
        <f>C22-C30</f>
        <v>-2662062.5500000017</v>
      </c>
      <c r="D31" s="23">
        <f>D22-D30</f>
        <v>-3794939.8000000063</v>
      </c>
      <c r="E31" s="23">
        <f>E22-E30</f>
        <v>-2552990.625</v>
      </c>
      <c r="F31" s="23">
        <f>F22-F30</f>
        <v>10470223.599999994</v>
      </c>
    </row>
    <row r="32" spans="1:6" ht="15" customHeight="1" x14ac:dyDescent="0.25">
      <c r="A32" s="22" t="s">
        <v>148</v>
      </c>
      <c r="B32" s="23">
        <f>B31</f>
        <v>-3213743.55</v>
      </c>
      <c r="C32" s="23">
        <f>B32+C31</f>
        <v>-5875806.1000000015</v>
      </c>
      <c r="D32" s="23">
        <f>C32+D31</f>
        <v>-9670745.9000000078</v>
      </c>
      <c r="E32" s="23">
        <f>D32+E31</f>
        <v>-12223736.525000008</v>
      </c>
      <c r="F32" s="23">
        <f>E32+F31</f>
        <v>-1753512.9250000138</v>
      </c>
    </row>
  </sheetData>
  <mergeCells count="7">
    <mergeCell ref="A21:F21"/>
    <mergeCell ref="A28:F28"/>
    <mergeCell ref="A1:F1"/>
    <mergeCell ref="A2:F2"/>
    <mergeCell ref="A5:F5"/>
    <mergeCell ref="A11:F11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tabSelected="1" zoomScaleNormal="100" workbookViewId="0">
      <selection activeCell="F19" sqref="F19"/>
    </sheetView>
  </sheetViews>
  <sheetFormatPr defaultColWidth="8.7109375" defaultRowHeight="15" x14ac:dyDescent="0.25"/>
  <cols>
    <col min="1" max="1" width="26" customWidth="1"/>
    <col min="2" max="8" width="14" customWidth="1"/>
  </cols>
  <sheetData>
    <row r="1" spans="1:8" ht="27.75" customHeight="1" x14ac:dyDescent="0.25">
      <c r="A1" s="4" t="s">
        <v>149</v>
      </c>
      <c r="B1" s="4"/>
      <c r="C1" s="4"/>
      <c r="D1" s="4"/>
      <c r="E1" s="4"/>
      <c r="F1" s="4"/>
      <c r="G1" s="4"/>
      <c r="H1" s="4"/>
    </row>
    <row r="2" spans="1:8" ht="15" customHeight="1" x14ac:dyDescent="0.25">
      <c r="A2" s="3" t="s">
        <v>150</v>
      </c>
      <c r="B2" s="3"/>
      <c r="C2" s="3"/>
      <c r="D2" s="3"/>
      <c r="E2" s="3"/>
      <c r="F2" s="3"/>
      <c r="G2" s="3"/>
      <c r="H2" s="3"/>
    </row>
    <row r="4" spans="1:8" ht="15" customHeight="1" x14ac:dyDescent="0.25">
      <c r="A4" s="28" t="s">
        <v>151</v>
      </c>
      <c r="B4" s="28" t="s">
        <v>152</v>
      </c>
      <c r="C4" s="28" t="s">
        <v>153</v>
      </c>
      <c r="D4" s="28" t="s">
        <v>154</v>
      </c>
      <c r="E4" s="28" t="s">
        <v>155</v>
      </c>
      <c r="F4" s="28" t="s">
        <v>156</v>
      </c>
      <c r="G4" s="28" t="s">
        <v>157</v>
      </c>
      <c r="H4" s="28" t="s">
        <v>158</v>
      </c>
    </row>
    <row r="5" spans="1:8" ht="15" customHeight="1" x14ac:dyDescent="0.25">
      <c r="A5" s="28" t="s">
        <v>159</v>
      </c>
      <c r="B5" s="37">
        <v>187480</v>
      </c>
      <c r="C5" s="37">
        <v>296939</v>
      </c>
      <c r="D5" s="37">
        <v>406399</v>
      </c>
      <c r="E5" s="37">
        <v>461128</v>
      </c>
      <c r="F5" s="37">
        <v>515858</v>
      </c>
      <c r="G5" s="37">
        <v>625317</v>
      </c>
      <c r="H5" s="37">
        <v>734777</v>
      </c>
    </row>
    <row r="6" spans="1:8" ht="15" customHeight="1" x14ac:dyDescent="0.25">
      <c r="A6" s="28" t="s">
        <v>160</v>
      </c>
      <c r="B6" s="37">
        <v>276253</v>
      </c>
      <c r="C6" s="37">
        <v>410037</v>
      </c>
      <c r="D6" s="37">
        <v>543820</v>
      </c>
      <c r="E6" s="37">
        <v>610712</v>
      </c>
      <c r="F6" s="37">
        <v>677604</v>
      </c>
      <c r="G6" s="37">
        <v>811388</v>
      </c>
      <c r="H6" s="37">
        <v>945171</v>
      </c>
    </row>
    <row r="7" spans="1:8" ht="15" customHeight="1" x14ac:dyDescent="0.25">
      <c r="A7" s="28" t="s">
        <v>161</v>
      </c>
      <c r="B7" s="37">
        <v>365026</v>
      </c>
      <c r="C7" s="37">
        <v>523134</v>
      </c>
      <c r="D7" s="37">
        <v>681242</v>
      </c>
      <c r="E7" s="37">
        <v>760296</v>
      </c>
      <c r="F7" s="37">
        <v>839350</v>
      </c>
      <c r="G7" s="37">
        <v>997458</v>
      </c>
      <c r="H7" s="37">
        <v>1155566</v>
      </c>
    </row>
    <row r="8" spans="1:8" ht="15" customHeight="1" x14ac:dyDescent="0.25">
      <c r="A8" s="28" t="s">
        <v>162</v>
      </c>
      <c r="B8" s="37">
        <v>409413</v>
      </c>
      <c r="C8" s="37">
        <v>579683</v>
      </c>
      <c r="D8" s="37">
        <v>749953</v>
      </c>
      <c r="E8" s="38">
        <v>835088</v>
      </c>
      <c r="F8" s="37">
        <v>920223</v>
      </c>
      <c r="G8" s="37">
        <v>1090493</v>
      </c>
      <c r="H8" s="37">
        <v>1260764</v>
      </c>
    </row>
    <row r="9" spans="1:8" ht="15" customHeight="1" x14ac:dyDescent="0.25">
      <c r="A9" s="28" t="s">
        <v>163</v>
      </c>
      <c r="B9" s="37">
        <v>453800</v>
      </c>
      <c r="C9" s="37">
        <v>636232</v>
      </c>
      <c r="D9" s="37">
        <v>818664</v>
      </c>
      <c r="E9" s="37">
        <v>909880</v>
      </c>
      <c r="F9" s="37">
        <v>1001097</v>
      </c>
      <c r="G9" s="37">
        <v>1183529</v>
      </c>
      <c r="H9" s="37">
        <v>1365961</v>
      </c>
    </row>
    <row r="10" spans="1:8" ht="15" customHeight="1" x14ac:dyDescent="0.25">
      <c r="A10" s="28" t="s">
        <v>164</v>
      </c>
      <c r="B10" s="37">
        <v>498186</v>
      </c>
      <c r="C10" s="37">
        <v>692781</v>
      </c>
      <c r="D10" s="37">
        <v>887375</v>
      </c>
      <c r="E10" s="37">
        <v>984672</v>
      </c>
      <c r="F10" s="37">
        <v>1081970</v>
      </c>
      <c r="G10" s="37">
        <v>1276564</v>
      </c>
      <c r="H10" s="37">
        <v>1471158</v>
      </c>
    </row>
    <row r="11" spans="1:8" ht="15" customHeight="1" x14ac:dyDescent="0.25">
      <c r="A11" s="28" t="s">
        <v>165</v>
      </c>
      <c r="B11" s="37">
        <v>542573</v>
      </c>
      <c r="C11" s="37">
        <v>749330</v>
      </c>
      <c r="D11" s="37">
        <v>956086</v>
      </c>
      <c r="E11" s="37">
        <v>1059464</v>
      </c>
      <c r="F11" s="37">
        <v>1162843</v>
      </c>
      <c r="G11" s="37">
        <v>1369599</v>
      </c>
      <c r="H11" s="37">
        <v>1576356</v>
      </c>
    </row>
    <row r="13" spans="1:8" ht="15" customHeight="1" x14ac:dyDescent="0.25">
      <c r="A13" s="1" t="s">
        <v>166</v>
      </c>
      <c r="B13" s="1"/>
      <c r="C13" s="1"/>
      <c r="D13" s="1"/>
      <c r="E13" s="1"/>
      <c r="F13" s="1"/>
      <c r="G13" s="1"/>
      <c r="H13" s="1"/>
    </row>
  </sheetData>
  <mergeCells count="3">
    <mergeCell ref="A1:H1"/>
    <mergeCell ref="A2:H2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Unit Economics</vt:lpstr>
      <vt:lpstr>5-Year P&amp;L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Yassin Alyassin</cp:lastModifiedBy>
  <cp:revision>0</cp:revision>
  <dcterms:created xsi:type="dcterms:W3CDTF">2026-03-13T05:47:53Z</dcterms:created>
  <dcterms:modified xsi:type="dcterms:W3CDTF">2026-03-13T05:51:35Z</dcterms:modified>
  <dc:language>en-US</dc:language>
</cp:coreProperties>
</file>