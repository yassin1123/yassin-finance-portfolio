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b7a148474250f21e/Desktop/"/>
    </mc:Choice>
  </mc:AlternateContent>
  <xr:revisionPtr revIDLastSave="0" documentId="8_{F007F865-E028-4796-AC27-04A111A47F96}" xr6:coauthVersionLast="47" xr6:coauthVersionMax="47" xr10:uidLastSave="{00000000-0000-0000-0000-000000000000}"/>
  <bookViews>
    <workbookView xWindow="-120" yWindow="-120" windowWidth="29040" windowHeight="15720" tabRatio="500" xr2:uid="{00000000-000D-0000-FFFF-FFFF00000000}"/>
  </bookViews>
  <sheets>
    <sheet name="Dashboard" sheetId="1" r:id="rId1"/>
    <sheet name="Financial Profile" sheetId="2" r:id="rId2"/>
    <sheet name="Coverage &amp; Leverage" sheetId="3" r:id="rId3"/>
    <sheet name="Debt Maturity Waterfall" sheetId="4" r:id="rId4"/>
    <sheet name="Stress Scenarios" sheetId="5" r:id="rId5"/>
    <sheet name="Credit Scorecard" sheetId="6" r:id="rId6"/>
    <sheet name="Credit Memo" sheetId="7"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20" i="6" l="1"/>
  <c r="D17" i="6"/>
  <c r="D16" i="6"/>
  <c r="D14" i="6"/>
  <c r="D13" i="6"/>
  <c r="D12" i="6"/>
  <c r="D11" i="6"/>
  <c r="D9" i="6"/>
  <c r="D8" i="6"/>
  <c r="D7" i="6"/>
  <c r="D6" i="6"/>
  <c r="D21" i="5"/>
  <c r="C21" i="5"/>
  <c r="B21" i="5"/>
  <c r="D20" i="5"/>
  <c r="C20" i="5"/>
  <c r="B20" i="5"/>
  <c r="D19" i="5"/>
  <c r="C19" i="5"/>
  <c r="B19" i="5"/>
  <c r="D18" i="5"/>
  <c r="C18" i="5"/>
  <c r="B18" i="5"/>
  <c r="D17" i="5"/>
  <c r="C17" i="5"/>
  <c r="B17" i="5"/>
  <c r="D16" i="5"/>
  <c r="C16" i="5"/>
  <c r="B16" i="5"/>
  <c r="D15" i="5"/>
  <c r="C15" i="5"/>
  <c r="B15" i="5"/>
  <c r="D14" i="5"/>
  <c r="C14" i="5"/>
  <c r="B14" i="5"/>
  <c r="D13" i="5"/>
  <c r="C13" i="5"/>
  <c r="B13" i="5"/>
  <c r="C11" i="4"/>
  <c r="F21" i="3"/>
  <c r="E21" i="3"/>
  <c r="D21" i="3"/>
  <c r="C21" i="3"/>
  <c r="B21" i="3"/>
  <c r="F20" i="3"/>
  <c r="E20" i="3"/>
  <c r="D20" i="3"/>
  <c r="C20" i="3"/>
  <c r="B20" i="3"/>
  <c r="F19" i="3"/>
  <c r="E19" i="3"/>
  <c r="D19" i="3"/>
  <c r="C19" i="3"/>
  <c r="B19" i="3"/>
  <c r="F18" i="3"/>
  <c r="E18" i="3"/>
  <c r="D18" i="3"/>
  <c r="C18" i="3"/>
  <c r="B18" i="3"/>
  <c r="F15" i="3"/>
  <c r="E15" i="3"/>
  <c r="D15" i="3"/>
  <c r="C15" i="3"/>
  <c r="B15" i="3"/>
  <c r="F14" i="3"/>
  <c r="E14" i="3"/>
  <c r="D14" i="3"/>
  <c r="C14" i="3"/>
  <c r="B14" i="3"/>
  <c r="F13" i="3"/>
  <c r="E13" i="3"/>
  <c r="D13" i="3"/>
  <c r="C13" i="3"/>
  <c r="B13" i="3"/>
  <c r="F12" i="3"/>
  <c r="E12" i="3"/>
  <c r="D12" i="3"/>
  <c r="C12" i="3"/>
  <c r="B12" i="3"/>
  <c r="F9" i="3"/>
  <c r="E9" i="3"/>
  <c r="D9" i="3"/>
  <c r="C9" i="3"/>
  <c r="B9" i="3"/>
  <c r="F8" i="3"/>
  <c r="E8" i="3"/>
  <c r="D8" i="3"/>
  <c r="C8" i="3"/>
  <c r="B8" i="3"/>
  <c r="F7" i="3"/>
  <c r="E7" i="3"/>
  <c r="D7" i="3"/>
  <c r="C7" i="3"/>
  <c r="B7" i="3"/>
  <c r="B6" i="3"/>
  <c r="F27" i="2"/>
  <c r="F6" i="3" s="1"/>
  <c r="E27" i="2"/>
  <c r="E6" i="3" s="1"/>
  <c r="D27" i="2"/>
  <c r="C27" i="2"/>
  <c r="C6" i="3" s="1"/>
  <c r="B27" i="2"/>
  <c r="F21" i="2"/>
  <c r="F22" i="2" s="1"/>
  <c r="E21" i="2"/>
  <c r="E22" i="2" s="1"/>
  <c r="D21" i="2"/>
  <c r="C21" i="2"/>
  <c r="C22" i="2" s="1"/>
  <c r="B21" i="2"/>
  <c r="B22" i="2" s="1"/>
  <c r="B16" i="2"/>
  <c r="F14" i="2"/>
  <c r="F16" i="2" s="1"/>
  <c r="E14" i="2"/>
  <c r="E16" i="2" s="1"/>
  <c r="D14" i="2"/>
  <c r="D16" i="2" s="1"/>
  <c r="B14" i="2"/>
  <c r="C12" i="2"/>
  <c r="B12" i="2"/>
  <c r="F11" i="2"/>
  <c r="F12" i="2" s="1"/>
  <c r="E11" i="2"/>
  <c r="E12" i="2" s="1"/>
  <c r="D11" i="2"/>
  <c r="D12" i="2" s="1"/>
  <c r="C11" i="2"/>
  <c r="C14" i="2" s="1"/>
  <c r="C16" i="2" s="1"/>
  <c r="B11" i="2"/>
  <c r="F9" i="2"/>
  <c r="E9" i="2"/>
  <c r="D9" i="2"/>
  <c r="C9" i="2"/>
  <c r="B9" i="2"/>
  <c r="F7" i="2"/>
  <c r="E7" i="2"/>
  <c r="D7" i="2"/>
  <c r="C7" i="2"/>
  <c r="B12" i="1"/>
  <c r="B10" i="1"/>
  <c r="B7" i="1"/>
  <c r="B6" i="1"/>
  <c r="B5" i="1"/>
  <c r="D6" i="3" l="1"/>
  <c r="B9" i="1"/>
  <c r="B8" i="1"/>
  <c r="D22" i="2"/>
  <c r="B11" i="1"/>
</calcChain>
</file>

<file path=xl/sharedStrings.xml><?xml version="1.0" encoding="utf-8"?>
<sst xmlns="http://schemas.openxmlformats.org/spreadsheetml/2006/main" count="297" uniqueCount="269">
  <si>
    <t>OCADO GROUP PLC — CREDIT ANALYSIS DASHBOARD</t>
  </si>
  <si>
    <t>KEY CREDIT METRICS (FY2025A)</t>
  </si>
  <si>
    <t>Revenue (£m)</t>
  </si>
  <si>
    <t>Adjusted EBITDA (£m)</t>
  </si>
  <si>
    <t>EBITDA Margin (%)</t>
  </si>
  <si>
    <t>Net Debt (£m)</t>
  </si>
  <si>
    <t>Net Debt / EBITDA (x)</t>
  </si>
  <si>
    <t>EBITDA / Interest (x)</t>
  </si>
  <si>
    <t>Free Cash Flow (£m)</t>
  </si>
  <si>
    <t>Cash &amp; Equivalents (£m)</t>
  </si>
  <si>
    <t>Implied Rating</t>
  </si>
  <si>
    <t>B / B-</t>
  </si>
  <si>
    <t>NEAR-TERM REFINANCING WALL</t>
  </si>
  <si>
    <t xml:space="preserve">  2026 maturities</t>
  </si>
  <si>
    <t>£500m Secured Notes + £255m RCF (undrawn)</t>
  </si>
  <si>
    <t xml:space="preserve">  2027 maturities</t>
  </si>
  <si>
    <t>£675m (Senior Secured + Convertible)</t>
  </si>
  <si>
    <t xml:space="preserve">  2028+ maturities</t>
  </si>
  <si>
    <t>£0m</t>
  </si>
  <si>
    <t>NAVIGATION</t>
  </si>
  <si>
    <t>Financial Profile</t>
  </si>
  <si>
    <t>FY2023A–FY2027E P&amp;L, cash flow, and balance sheet</t>
  </si>
  <si>
    <t>Coverage &amp; Leverage</t>
  </si>
  <si>
    <t>Full ratio analysis: leverage, coverage, liquidity metrics</t>
  </si>
  <si>
    <t>Debt Maturity Waterfall</t>
  </si>
  <si>
    <t>Capital structure detail, maturity profile, refinancing risk</t>
  </si>
  <si>
    <t>Stress Scenarios</t>
  </si>
  <si>
    <t>Base / Downside / Severe: FCF and debt service under stress</t>
  </si>
  <si>
    <t>Credit Scorecard</t>
  </si>
  <si>
    <t>Weighted credit score, implied rating, analyst recommendation</t>
  </si>
  <si>
    <t>Credit Memo</t>
  </si>
  <si>
    <t>Full credit memo with thesis, risks, and investment view</t>
  </si>
  <si>
    <t>OCADO GROUP PLC — FINANCIAL PROFILE (£m)</t>
  </si>
  <si>
    <t>Source: Ocado Annual Report FY2025, FY2024 | RNS announcements | Blue = input | Black = formula</t>
  </si>
  <si>
    <t>FY2023A</t>
  </si>
  <si>
    <t>FY2024A</t>
  </si>
  <si>
    <t>FY2025A</t>
  </si>
  <si>
    <t>FY2026E</t>
  </si>
  <si>
    <t>FY2027E</t>
  </si>
  <si>
    <t>Notes</t>
  </si>
  <si>
    <t>INCOME STATEMENT</t>
  </si>
  <si>
    <t>FY25: £1,363m; Source: FY25 Annual Report p.4</t>
  </si>
  <si>
    <t xml:space="preserve">    YoY Growth (%)</t>
  </si>
  <si>
    <t>FY25: £178m adj EBITDA; Source: FY25 Annual Report</t>
  </si>
  <si>
    <t xml:space="preserve">    EBITDA Margin (%)</t>
  </si>
  <si>
    <t>D&amp;A (£m)</t>
  </si>
  <si>
    <t>Capex-heavy; significant lease D&amp;A</t>
  </si>
  <si>
    <t>Adjusted EBIT (£m)</t>
  </si>
  <si>
    <t>EBITDA plus D&amp;A</t>
  </si>
  <si>
    <t xml:space="preserve">    EBIT Margin (%)</t>
  </si>
  <si>
    <t>Net Finance Costs (£m)</t>
  </si>
  <si>
    <t>Bond coupon + lease interest</t>
  </si>
  <si>
    <t>Adjusted PBT (£m)</t>
  </si>
  <si>
    <t>EBIT plus finance costs</t>
  </si>
  <si>
    <t>Tax (£m)</t>
  </si>
  <si>
    <t>Low effective rate; deferred tax assets</t>
  </si>
  <si>
    <t>Adjusted Net Income (£m)</t>
  </si>
  <si>
    <t>CASH FLOW</t>
  </si>
  <si>
    <t>Capex (£m)</t>
  </si>
  <si>
    <t>Declining as CFC buildout matures</t>
  </si>
  <si>
    <t>Change in Working Cap</t>
  </si>
  <si>
    <t>Working cap release as growth moderates</t>
  </si>
  <si>
    <t>EBITDA plus Capex plus WC</t>
  </si>
  <si>
    <t xml:space="preserve">    FCF Margin (%)</t>
  </si>
  <si>
    <t>BALANCE SHEET</t>
  </si>
  <si>
    <t>Unrestricted cash only. IFRS 16 lease liabilities excluded from all debt metrics throughout.</t>
  </si>
  <si>
    <t>Total Gross Debt (£m)</t>
  </si>
  <si>
    <t>Drawn bonds only (£500m + £350m SNs + £325m CVB + £255m RCF). Excludes IFRS 16 lease liabilities (~£800m).</t>
  </si>
  <si>
    <t>Gross debt minus cash</t>
  </si>
  <si>
    <t>Total Equity (£m)</t>
  </si>
  <si>
    <t>Book value; significant intangibles</t>
  </si>
  <si>
    <t>Total Assets (£m)</t>
  </si>
  <si>
    <t>COVERAGE &amp; LEVERAGE RATIOS — OCADO GROUP PLC</t>
  </si>
  <si>
    <t>Key credit metrics | Thresholds based on leveraged loan / HY bond market conventions</t>
  </si>
  <si>
    <t>Threshold</t>
  </si>
  <si>
    <t>Signal</t>
  </si>
  <si>
    <t>LEVERAGE RATIOS</t>
  </si>
  <si>
    <t xml:space="preserve">  Net Debt / Adj. EBITDA (x)</t>
  </si>
  <si>
    <t>&lt;4.0x</t>
  </si>
  <si>
    <t>Lower is better — &lt;4x broadly acceptable for HY</t>
  </si>
  <si>
    <t xml:space="preserve">  Gross Debt / Adj. EBITDA (x)</t>
  </si>
  <si>
    <t>&lt;6.0x</t>
  </si>
  <si>
    <t>Gross leverage; relevant for covenant analysis</t>
  </si>
  <si>
    <t xml:space="preserve">  Net Debt / Total Assets (%)</t>
  </si>
  <si>
    <t>&lt;40%</t>
  </si>
  <si>
    <t>Asset coverage of debt</t>
  </si>
  <si>
    <t xml:space="preserve">  Net Debt / Equity (x)</t>
  </si>
  <si>
    <t>&lt;2.0x</t>
  </si>
  <si>
    <t>Financial gearing</t>
  </si>
  <si>
    <t>COVERAGE RATIOS</t>
  </si>
  <si>
    <t xml:space="preserve">  EBITDA / Interest Coverage (x)</t>
  </si>
  <si>
    <t>&gt;2.0x</t>
  </si>
  <si>
    <t>Critical HY covenant threshold; &lt;2x = distress signal</t>
  </si>
  <si>
    <t xml:space="preserve">  EBIT / Interest Coverage (x)</t>
  </si>
  <si>
    <t>&gt;1.5x</t>
  </si>
  <si>
    <t>More conservative; EBIT often negative for growth cos</t>
  </si>
  <si>
    <t xml:space="preserve">  FCF / Total Debt (%)</t>
  </si>
  <si>
    <t>&gt;5%</t>
  </si>
  <si>
    <t>Ability to service debt from operations</t>
  </si>
  <si>
    <t xml:space="preserve">  Cash Interest Coverage (EBITDA-Capex)/Interest</t>
  </si>
  <si>
    <t>Most conservative; cash available after maintenance capex</t>
  </si>
  <si>
    <t>LIQUIDITY METRICS</t>
  </si>
  <si>
    <t xml:space="preserve">  Cash &amp; Equivalents (£m)</t>
  </si>
  <si>
    <t>&gt;£200m</t>
  </si>
  <si>
    <t>Minimum operating liquidity buffer</t>
  </si>
  <si>
    <t xml:space="preserve">  Cash as % of Annual Revenue</t>
  </si>
  <si>
    <t>&gt;15%</t>
  </si>
  <si>
    <t>Months of revenue coverage</t>
  </si>
  <si>
    <t xml:space="preserve">  Cash / Annual Interest (x)</t>
  </si>
  <si>
    <t>&gt;3.0x</t>
  </si>
  <si>
    <t>Cash runway to service interest</t>
  </si>
  <si>
    <t xml:space="preserve">  Cash Burn Rate (£m, if FCF neg)</t>
  </si>
  <si>
    <t>0</t>
  </si>
  <si>
    <t>Negative = burning cash</t>
  </si>
  <si>
    <t>DEBT MATURITY WATERFALL &amp; CAPITAL STRUCTURE — OCADO GROUP PLC</t>
  </si>
  <si>
    <t>Source: Ocado FY2025 Annual Report, Note 19 (Borrowings) | All £m</t>
  </si>
  <si>
    <t>DEBT INSTRUMENT DETAIL</t>
  </si>
  <si>
    <t>Instrument</t>
  </si>
  <si>
    <t>Type</t>
  </si>
  <si>
    <t>Amount (£m)</t>
  </si>
  <si>
    <t>Coupon / Rate</t>
  </si>
  <si>
    <t>Maturity</t>
  </si>
  <si>
    <t>Security</t>
  </si>
  <si>
    <t>Currency</t>
  </si>
  <si>
    <t>Rating</t>
  </si>
  <si>
    <t>Senior Secured Notes</t>
  </si>
  <si>
    <t>Fixed Rate Bond</t>
  </si>
  <si>
    <t>3.875%</t>
  </si>
  <si>
    <t>Jun 2026</t>
  </si>
  <si>
    <t>1st lien on CFC assets</t>
  </si>
  <si>
    <t>GBP</t>
  </si>
  <si>
    <t>B2/B</t>
  </si>
  <si>
    <t>4.500%</t>
  </si>
  <si>
    <t>Jul 2027</t>
  </si>
  <si>
    <t>Near-term wall; key refinancing priority</t>
  </si>
  <si>
    <t>Convertible Bonds</t>
  </si>
  <si>
    <t>Convertible</t>
  </si>
  <si>
    <t>0.875%</t>
  </si>
  <si>
    <t>Jan 2027</t>
  </si>
  <si>
    <t>Unsecured</t>
  </si>
  <si>
    <t>CCC+</t>
  </si>
  <si>
    <t>Conversion price ~£7.50; deep out of money</t>
  </si>
  <si>
    <t>Revolving Credit Facility</t>
  </si>
  <si>
    <t>Floating RCF</t>
  </si>
  <si>
    <t>SONIA+250bps</t>
  </si>
  <si>
    <t>Dec 2026</t>
  </si>
  <si>
    <t>1st lien</t>
  </si>
  <si>
    <t>Lease Liabilities (IFRS 16)</t>
  </si>
  <si>
    <t>Lease</t>
  </si>
  <si>
    <t>Various</t>
  </si>
  <si>
    <t>n/a</t>
  </si>
  <si>
    <t>Excluded from credit debt; shown separately</t>
  </si>
  <si>
    <t>Total Drawn Debt — excl. undrawn RCF (£m)</t>
  </si>
  <si>
    <t>MATURITY PROFILE BY YEAR</t>
  </si>
  <si>
    <t>Year</t>
  </si>
  <si>
    <t>2026</t>
  </si>
  <si>
    <t>2027</t>
  </si>
  <si>
    <t>2028</t>
  </si>
  <si>
    <t>2029</t>
  </si>
  <si>
    <t>2030+</t>
  </si>
  <si>
    <t>Drawn Debt Maturing (£m)</t>
  </si>
  <si>
    <t>% of Total Debt</t>
  </si>
  <si>
    <t xml:space="preserve">  RCF Facility Renewal (undrawn, £m)</t>
  </si>
  <si>
    <t>REFINANCING RISK ASSESSMENT</t>
  </si>
  <si>
    <t>£500m Senior Secured Notes due Jun 2026</t>
  </si>
  <si>
    <t>£350m Senior Secured Notes due Jul 2027</t>
  </si>
  <si>
    <t>£325m Convertible due Jan 2027</t>
  </si>
  <si>
    <t>RCF £255m due Dec 2026</t>
  </si>
  <si>
    <t>STRESS SCENARIO ANALYSIS — OCADO GROUP PLC</t>
  </si>
  <si>
    <t>Base | Downside | Severe Downside | Recovery | Key question: does Ocado reach FCF breakeven before debt matures?</t>
  </si>
  <si>
    <t>Base Case</t>
  </si>
  <si>
    <t>Downside</t>
  </si>
  <si>
    <t>Severe Downside</t>
  </si>
  <si>
    <t>FY2026E ASSUMPTIONS</t>
  </si>
  <si>
    <t xml:space="preserve">  Revenue Growth (%)</t>
  </si>
  <si>
    <t>Base: mgmt guidance; Downside: partner site risk; Severe: contract loss</t>
  </si>
  <si>
    <t xml:space="preserve">  Adj. EBITDA Margin (%)</t>
  </si>
  <si>
    <t>Severe: fixed cost deleveraging if volumes drop</t>
  </si>
  <si>
    <t xml:space="preserve">  Capex (£m)</t>
  </si>
  <si>
    <t>Severe: emergency spend to retain partners</t>
  </si>
  <si>
    <t xml:space="preserve">  Change in Working Cap (£m)</t>
  </si>
  <si>
    <t>Severe: WC outflow on revenue decline</t>
  </si>
  <si>
    <t xml:space="preserve">  Cash Interest (£m)</t>
  </si>
  <si>
    <t>FY2026E OUTPUTS</t>
  </si>
  <si>
    <t xml:space="preserve">  Revenue (£m)</t>
  </si>
  <si>
    <t xml:space="preserve">  Adj. EBITDA (£m)</t>
  </si>
  <si>
    <t xml:space="preserve">  Less: Capex (£m)</t>
  </si>
  <si>
    <t xml:space="preserve">  Less: WC Change</t>
  </si>
  <si>
    <t xml:space="preserve">  FCF pre-interest</t>
  </si>
  <si>
    <t xml:space="preserve">  Less: Cash Interest</t>
  </si>
  <si>
    <t xml:space="preserve">  FCF post-interest</t>
  </si>
  <si>
    <t xml:space="preserve">  Net Debt / EBITDA</t>
  </si>
  <si>
    <t xml:space="preserve">  EBITDA / Interest</t>
  </si>
  <si>
    <t>SCENARIO SUMMARY — CAN OCADO SERVICE ITS DEBT?</t>
  </si>
  <si>
    <t>FCF turns positive pre-interest in FY2026E. Post-interest FCF remains thin (~£30-50m). Refinancing of 2026-2027 maturities is achievable if capital markets remain open and management delivers on the EBITDA improvement. Net Debt/EBITDA falls toward 4.5x. Manageable but not comfortable.</t>
  </si>
  <si>
    <t>CREDIT SCORECARD — OCADO GROUP PLC</t>
  </si>
  <si>
    <t>Qualitative and quantitative credit assessment | Score: 1 (weakest) to 5 (strongest)</t>
  </si>
  <si>
    <t>Factor</t>
  </si>
  <si>
    <t>Score (1-5)</t>
  </si>
  <si>
    <t>Weight</t>
  </si>
  <si>
    <t>Wtd Score</t>
  </si>
  <si>
    <t>Commentary</t>
  </si>
  <si>
    <t>BUSINESS PROFILE</t>
  </si>
  <si>
    <t xml:space="preserve">  Business Model Durability</t>
  </si>
  <si>
    <t>Automation technology is genuinely differentiated; grocery logistics is low-margin and competitive</t>
  </si>
  <si>
    <t xml:space="preserve">  Competitive Position</t>
  </si>
  <si>
    <t>Strong in UK with M&amp;S partnership; international rollout has disappointed; partners hold leverage</t>
  </si>
  <si>
    <t xml:space="preserve">  Revenue Visibility / Recurring</t>
  </si>
  <si>
    <t>Platform fees provide some visibility but partner dependency creates concentration risk</t>
  </si>
  <si>
    <t xml:space="preserve">  Management Track Record</t>
  </si>
  <si>
    <t>Credibility damaged by CFC writedowns and partner site closures; guidance repeatedly missed</t>
  </si>
  <si>
    <t>FINANCIAL PROFILE</t>
  </si>
  <si>
    <t xml:space="preserve">  Leverage (Net Debt/EBITDA)</t>
  </si>
  <si>
    <t xml:space="preserve">  Coverage (EBITDA/Interest)</t>
  </si>
  <si>
    <t xml:space="preserve">  Free Cash Flow Generation</t>
  </si>
  <si>
    <t xml:space="preserve">  Liquidity Position</t>
  </si>
  <si>
    <t>£380m cash covers near-term needs but 2026-2027 refinancing wall is the critical risk</t>
  </si>
  <si>
    <t>STRUCTURAL FACTORS</t>
  </si>
  <si>
    <t xml:space="preserve">  Debt Maturity Profile</t>
  </si>
  <si>
    <t>£1.1bn maturing in 2026-2027 is a serious wall; most significant near-term credit risk</t>
  </si>
  <si>
    <t xml:space="preserve">  Asset Coverage / Security</t>
  </si>
  <si>
    <t>CFC assets provide tangible security for senior secured notes; recovery would be meaningful</t>
  </si>
  <si>
    <t>OVERALL CREDIT ASSESSMENT</t>
  </si>
  <si>
    <t>Weighted Average Score</t>
  </si>
  <si>
    <t>Out of 5.0 | &lt;2.5 = distressed | 2.5–3.5 = speculative | &gt;3.5 = investment grade</t>
  </si>
  <si>
    <t>Implied Rating Category</t>
  </si>
  <si>
    <t>Analyst View</t>
  </si>
  <si>
    <t>CREDIT MEMO — OCADO GROUP PLC (LSE: OCDO)</t>
  </si>
  <si>
    <t>CREDIT OVERVIEW</t>
  </si>
  <si>
    <t>Issuer</t>
  </si>
  <si>
    <t>Ocado Group PLC is a UK-listed technology and grocery logistics company operating two distinct businesses: Ocado Retail (a 50/50 joint venture with Marks &amp; Spencer) and Ocado Solutions (the B2B platform business licensing its automated Customer Fulfilment Centre technology to international grocery retailers including Kroger, Sobeys, and Lotte). The credit analysis focuses on the consolidated group, which carries approximately £1.18bn of drawn debt as of FY2025 year-end (£500m + £350m Senior Secured Notes and £325m Convertible Bonds, excluding the £255m RCF which was undrawn at year-end).</t>
  </si>
  <si>
    <t>Why it is interesting</t>
  </si>
  <si>
    <t>INVESTMENT THESIS</t>
  </si>
  <si>
    <t>The bull case</t>
  </si>
  <si>
    <t>The bear case</t>
  </si>
  <si>
    <t>My view</t>
  </si>
  <si>
    <t>KEY CREDIT RISKS</t>
  </si>
  <si>
    <t>Refinancing wall</t>
  </si>
  <si>
    <t>Partner dependence</t>
  </si>
  <si>
    <t>Ocado Solutions revenue is driven by a small number of large partners, each of which has negotiating leverage. The closure of the Kroger Ocado solution sites in 2024 was a warning sign. A further partner cancellation would materially reduce the revenue base that underpins the credit story.</t>
  </si>
  <si>
    <t>FCF delivery risk</t>
  </si>
  <si>
    <t>Convertible overhang</t>
  </si>
  <si>
    <t>£325m of convertible bonds due January 2027 at a conversion price of ~£7.50 creates a significant equity dilution or cash repayment event. Given the current share price is approximately half the conversion price, equity settlement is not realistic. Cash repayment adds ~£325m to the already sizeable 2027 refinancing requirement.</t>
  </si>
  <si>
    <t>DATA SOURCES</t>
  </si>
  <si>
    <t>Sources</t>
  </si>
  <si>
    <t>Ocado Group Annual Report FY2025 | Ocado Group Annual Report FY2024 | Ocado FY2025 preliminary results RNS | Ocado Note 19 (Borrowings) from FY2025 accounts | S&amp;P Global Ratings Ocado credit opinion | Moody's Ocado issuer rating report | Bloomberg bond price data</t>
  </si>
  <si>
    <t>LSE: OCDO | High Yield / Leveraged Credit | Analyst: Yassin Al-Yassin | April 2026</t>
  </si>
  <si>
    <t>FCF pre-interest barely positive. Post-interest FCF negative (~£30-50m burn). Ocado would need to draw on RCF or raise equity to cover debt service and the 2026 maturity. Net Debt/EBITDA stays elevated above 5.5x. Refinancing becomes difficult, lenders will demand significantly higher spreads.</t>
  </si>
  <si>
    <t>FCF deeply negative throughout. EBITDA/Interest coverage falls below 1.0x, a classic distress signal. Cash runway depletes rapidly. Absent equity raise or asset sale (e.g. Ocado Retail stake), default risk becomes material within 18-24 months. This is the scenario that justifies scepticism on the equity.</t>
  </si>
  <si>
    <t>Fixed, bond coupons do not flex</t>
  </si>
  <si>
    <t>UNDRAWN at FY25 year-end, available liquidity, not drawn debt. Maturity creates refinancing event regardless.</t>
  </si>
  <si>
    <t>Earliest maturity, refinancing risk</t>
  </si>
  <si>
    <t>Facility renewal, not cash debt repayment</t>
  </si>
  <si>
    <t>HIGH; matures in approximately 12 months from FY25 year-end. Ocado must refinance or repay. Cash of £380m covers ~76% but leaves limited headroom. Management will need capital markets access in an environment where Ocado's credit profile remains speculative grade.</t>
  </si>
  <si>
    <t>HIGH; follows immediately after the Jun 2026 maturity. Combined 2026-2027 refinancing wall of £1,130m (including RCF) represents the key near-term credit risk.</t>
  </si>
  <si>
    <t>MEDIUM-HIGH; conversion price of ~£7.50 is approximately 2x the current share price. Cash settlement is the most likely outcome. Adds to the 2027 refinancing burden.</t>
  </si>
  <si>
    <t>MEDIUM; currently undrawn and serves as liquidity backstop. Refinancing is standard but depends on lender appetite at prevailing credit spreads.</t>
  </si>
  <si>
    <t>Bullish on the technology. Cautious on the credit until the FCF inflection in FY2026E is actually delivered and the 2026-2027 refinancing wall is navigated. The senior secured notes benefit from first-lien CFC asset backing, which provides meaningful recovery support in a stress scenario. The convertible is structurally the weakest instrument, unsecured, deep out of the money at ~£7.50 conversion vs current price, and due January 2027. Without recovery analysis or live spread data, a formal trade recommendation is beyond the scope of this model. The analytical conclusion is that the senior secured is more defensible than the convertible on both security and maturity grounds, but credit investors should stress-test recovery assumptions before sizing any position.</t>
  </si>
  <si>
    <t>Speculative grade, high yield territory. Comparable to Moody's B2/S&amp;P B. Investable for HY funds with sufficient spread compensation.</t>
  </si>
  <si>
    <t>Negative FCF through FY2025; FY2026E inflection is the key catalyst, not yet delivered</t>
  </si>
  <si>
    <t>~1.8x FY2025, below the 2.0x comfort threshold; improving toward safety in FY2026E</t>
  </si>
  <si>
    <t>~5.9x on FY2025 EBITDA, elevated; improving but still speculative grade territory</t>
  </si>
  <si>
    <t>Management has guided for FCF breakeven in FY2026. This is not the first time a breakeven target has been set. If capex increases (emergency spend to retain a partner) or EBITDA disappoints, the FCF inflection could slip by another year, which would collide directly with the refinancing schedule.</t>
  </si>
  <si>
    <t>£755m matures in 2026 and a further £675m in 2027. Combined, this represents almost the entirety of Ocado's drawn debt capital structure coming due within two years. If markets are unreceptive, due to either macro conditions or Ocado-specific execution concerns, the company would face a genuine liquidity crisis despite positive EBITDA.</t>
  </si>
  <si>
    <t>I am bullish on the technology and cautious on the credit until the FCF inflection is actually delivered and the refinancing wall is navigated. The senior secured notes offer reasonable recovery in a stress scenario given the CFC asset backing, and the improving EBITDA trajectory means the credit is moving in the right direction. But the convertible is the most dangerous instrument in the capital structure, it is unsecured, deep out of the money, and due in January 2027. If I were a credit investor, I would be long the senior secured at current spreads with a tight stop on the FCF delivery, and I would avoid the convertible entirely.</t>
  </si>
  <si>
    <t>The history here matters. Ocado has closed partner CFC sites, missed revenue targets, and consumed cash for longer than guided. The £500m Senior Secured Notes due June 2026 represent an imminent test, Ocado needs to refinance this in the next 12 months, during which time its credit spread will be heavily influenced by whether the FY2026 FCF inflection materialises on schedule. The convertible bonds maturing in January 2027 are particularly vulnerable: conversion at ~£7.50 per share is approximately 2x the current price, meaning cash settlement is the only realistic outcome, adding to the refinancing burden.</t>
  </si>
  <si>
    <t>FY2025 adjusted EBITDA of £178m is a meaningful step forward from £62m in FY2023. Management is targeting positive FCF in FY2026, if delivered, it removes the most acute credit concern and gives Ocado the credibility to refinance the 2026-2027 maturities at manageable spreads. The CFC technology has genuine barriers to entry: the automation systems are proprietary, the installation time is multi-year, and no competitor has yet demonstrated comparable throughput economics. For senior secured noteholders, the CFC assets provide tangible recovery value in a downside scenario.</t>
  </si>
  <si>
    <t>Ocado sits in an analytically uncomfortable position that makes it a genuinely interesting credit. It is not a distressed issuer in the traditional sense, it has cash, a real business, and improving EBITDA. But it has a £1.1bn refinancing wall hitting in 2026 and 2027, negative historical FCF, and a track record of missed execution targets. That combination forces you to think carefully about the difference between solvency risk and liquidity risk, and about what a credit recovery would actually look like if things go wrong.</t>
  </si>
  <si>
    <t>Leveraged Credit Analysis | Analyst: Yassin Al-Yassin | April 2026 | High Yield / Leveraged Loan 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</si>
</sst>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x"/>
  </numFmts>
  <fonts count="27" x14ac:knownFonts="1">
    <font>
      <sz val="11"/>
      <color theme="1"/>
      <name val="Calibri"/>
      <family val="2"/>
      <charset val="1"/>
    </font>
    <font>
      <b/>
      <sz val="13"/>
      <color rgb="FFFFFFFF"/>
      <name val="Arial"/>
      <charset val="1"/>
    </font>
    <font>
      <i/>
      <sz val="8"/>
      <color rgb="FF808080"/>
      <name val="Arial"/>
      <charset val="1"/>
    </font>
    <font>
      <b/>
      <sz val="9"/>
      <color rgb="FFFFFFFF"/>
      <name val="Arial"/>
      <charset val="1"/>
    </font>
    <font>
      <b/>
      <sz val="9"/>
      <color rgb="FF1F3C6B"/>
      <name val="Arial"/>
      <charset val="1"/>
    </font>
    <font>
      <b/>
      <sz val="9"/>
      <color rgb="FF008000"/>
      <name val="Arial"/>
      <charset val="1"/>
    </font>
    <font>
      <b/>
      <sz val="10"/>
      <color rgb="FFFFC000"/>
      <name val="Arial"/>
      <charset val="1"/>
    </font>
    <font>
      <sz val="9"/>
      <color rgb="FF1F3C6B"/>
      <name val="Arial"/>
      <charset val="1"/>
    </font>
    <font>
      <b/>
      <sz val="9"/>
      <color rgb="FFFF0000"/>
      <name val="Arial"/>
      <charset val="1"/>
    </font>
    <font>
      <sz val="9"/>
      <color rgb="FF000000"/>
      <name val="Arial"/>
      <charset val="1"/>
    </font>
    <font>
      <b/>
      <sz val="9"/>
      <color rgb="FF404040"/>
      <name val="Arial"/>
      <charset val="1"/>
    </font>
    <font>
      <b/>
      <sz val="8"/>
      <color rgb="FF808080"/>
      <name val="Arial"/>
      <charset val="1"/>
    </font>
    <font>
      <sz val="9"/>
      <color rgb="FF0000FF"/>
      <name val="Arial"/>
      <charset val="1"/>
    </font>
    <font>
      <sz val="9"/>
      <color rgb="FF404040"/>
      <name val="Arial"/>
      <charset val="1"/>
    </font>
    <font>
      <b/>
      <sz val="9"/>
      <color rgb="FF000000"/>
      <name val="Arial"/>
      <charset val="1"/>
    </font>
    <font>
      <b/>
      <sz val="8"/>
      <color rgb="FF1F3C6B"/>
      <name val="Arial"/>
      <charset val="1"/>
    </font>
    <font>
      <b/>
      <sz val="8"/>
      <color rgb="FFFFFFFF"/>
      <name val="Arial"/>
      <charset val="1"/>
    </font>
    <font>
      <sz val="8"/>
      <color rgb="FF404040"/>
      <name val="Arial"/>
      <charset val="1"/>
    </font>
    <font>
      <sz val="8"/>
      <color rgb="FF000000"/>
      <name val="Arial"/>
      <charset val="1"/>
    </font>
    <font>
      <b/>
      <sz val="8"/>
      <color rgb="FFFF0000"/>
      <name val="Arial"/>
      <charset val="1"/>
    </font>
    <font>
      <sz val="8"/>
      <color rgb="FF808080"/>
      <name val="Arial"/>
      <charset val="1"/>
    </font>
    <font>
      <sz val="9"/>
      <color rgb="FF808080"/>
      <name val="Arial"/>
      <charset val="1"/>
    </font>
    <font>
      <i/>
      <sz val="9"/>
      <color rgb="FF404040"/>
      <name val="Arial"/>
      <charset val="1"/>
    </font>
    <font>
      <i/>
      <sz val="9"/>
      <color rgb="FF808080"/>
      <name val="Arial"/>
      <charset val="1"/>
    </font>
    <font>
      <b/>
      <sz val="9"/>
      <color rgb="FF808080"/>
      <name val="Arial"/>
      <charset val="1"/>
    </font>
    <font>
      <sz val="9"/>
      <color rgb="FFFF0000"/>
      <name val="Arial"/>
      <charset val="1"/>
    </font>
    <font>
      <i/>
      <sz val="8"/>
      <color rgb="FF404040"/>
      <name val="Arial"/>
      <charset val="1"/>
    </font>
  </fonts>
  <fills count="12">
    <fill>
      <patternFill patternType="none"/>
    </fill>
    <fill>
      <patternFill patternType="gray125"/>
    </fill>
    <fill>
      <patternFill patternType="solid">
        <fgColor rgb="FF1F3C6B"/>
        <bgColor rgb="FF404040"/>
      </patternFill>
    </fill>
    <fill>
      <patternFill patternType="solid">
        <fgColor rgb="FFEBF3FB"/>
        <bgColor rgb="FFF2F2F2"/>
      </patternFill>
    </fill>
    <fill>
      <patternFill patternType="solid">
        <fgColor rgb="FFFFFFFF"/>
        <bgColor rgb="FFF2F2F2"/>
      </patternFill>
    </fill>
    <fill>
      <patternFill patternType="solid">
        <fgColor rgb="FFFFE0E0"/>
        <bgColor rgb="FFF2F2F2"/>
      </patternFill>
    </fill>
    <fill>
      <patternFill patternType="solid">
        <fgColor rgb="FFE2EFDA"/>
        <bgColor rgb="FFF2F2F2"/>
      </patternFill>
    </fill>
    <fill>
      <patternFill patternType="solid">
        <fgColor rgb="FFF2F2F2"/>
        <bgColor rgb="FFEBF3FB"/>
      </patternFill>
    </fill>
    <fill>
      <patternFill patternType="solid">
        <fgColor rgb="FF2E5496"/>
        <bgColor rgb="FF1F3C6B"/>
      </patternFill>
    </fill>
    <fill>
      <patternFill patternType="solid">
        <fgColor rgb="FFD9E2F3"/>
        <bgColor rgb="FFE2EFDA"/>
      </patternFill>
    </fill>
    <fill>
      <patternFill patternType="solid">
        <fgColor rgb="FFFFC000"/>
        <bgColor rgb="FFFF9900"/>
      </patternFill>
    </fill>
    <fill>
      <patternFill patternType="solid">
        <fgColor rgb="FFB4C7E7"/>
        <bgColor rgb="FF99CCFF"/>
      </patternFill>
    </fill>
  </fills>
  <borders count="1">
    <border>
      <left/>
      <right/>
      <top/>
      <bottom/>
      <diagonal/>
    </border>
  </borders>
  <cellStyleXfs count="1">
    <xf numFmtId="0" fontId="0" fillId="0" borderId="0"/>
  </cellStyleXfs>
  <cellXfs count="105">
    <xf numFmtId="0" fontId="0" fillId="0" borderId="0" xfId="0"/>
    <xf numFmtId="0" fontId="13" fillId="0" borderId="0" xfId="0" applyFont="1" applyAlignment="1">
      <alignment horizontal="left" vertical="top" wrapText="1"/>
    </xf>
    <xf numFmtId="0" fontId="13" fillId="4" borderId="0" xfId="0" applyFont="1" applyFill="1" applyAlignment="1">
      <alignment horizontal="left" vertical="top" wrapText="1"/>
    </xf>
    <xf numFmtId="0" fontId="0" fillId="0" borderId="0" xfId="0"/>
    <xf numFmtId="0" fontId="3" fillId="2" borderId="0" xfId="0" applyFont="1" applyFill="1" applyAlignment="1">
      <alignment horizontal="left" vertical="center"/>
    </xf>
    <xf numFmtId="0" fontId="2" fillId="0" borderId="0" xfId="0" applyFont="1" applyAlignment="1">
      <alignment horizontal="left" vertical="center"/>
    </xf>
    <xf numFmtId="0" fontId="1" fillId="2" borderId="0" xfId="0" applyFont="1" applyFill="1" applyAlignment="1">
      <alignment horizontal="left" vertical="center"/>
    </xf>
    <xf numFmtId="0" fontId="2" fillId="0" borderId="0" xfId="0" applyFont="1" applyAlignment="1">
      <alignment horizontal="left" vertical="center"/>
    </xf>
    <xf numFmtId="0" fontId="3" fillId="2" borderId="0" xfId="0" applyFont="1" applyFill="1" applyAlignment="1">
      <alignment horizontal="left" vertical="center"/>
    </xf>
    <xf numFmtId="0" fontId="4" fillId="3" borderId="0" xfId="0" applyFont="1" applyFill="1" applyAlignment="1">
      <alignment horizontal="left" vertical="center"/>
    </xf>
    <xf numFmtId="164" fontId="5" fillId="4" borderId="0" xfId="0" applyNumberFormat="1" applyFont="1" applyFill="1" applyAlignment="1">
      <alignment horizontal="right" vertical="center"/>
    </xf>
    <xf numFmtId="165" fontId="5" fillId="4" borderId="0" xfId="0" applyNumberFormat="1" applyFont="1" applyFill="1" applyAlignment="1">
      <alignment horizontal="right" vertical="center"/>
    </xf>
    <xf numFmtId="166" fontId="5" fillId="4" borderId="0" xfId="0" applyNumberFormat="1" applyFont="1" applyFill="1" applyAlignment="1">
      <alignment horizontal="right" vertical="center"/>
    </xf>
    <xf numFmtId="0" fontId="6" fillId="4" borderId="0" xfId="0" applyFont="1" applyFill="1" applyAlignment="1">
      <alignment horizontal="center" vertical="center"/>
    </xf>
    <xf numFmtId="0" fontId="7" fillId="5" borderId="0" xfId="0" applyFont="1" applyFill="1" applyAlignment="1">
      <alignment horizontal="left" vertical="center"/>
    </xf>
    <xf numFmtId="0" fontId="8" fillId="5" borderId="0" xfId="0" applyFont="1" applyFill="1" applyAlignment="1">
      <alignment horizontal="right" vertical="center"/>
    </xf>
    <xf numFmtId="0" fontId="7" fillId="6" borderId="0" xfId="0" applyFont="1" applyFill="1" applyAlignment="1">
      <alignment horizontal="left" vertical="center"/>
    </xf>
    <xf numFmtId="0" fontId="5" fillId="6" borderId="0" xfId="0" applyFont="1" applyFill="1" applyAlignment="1">
      <alignment horizontal="right" vertical="center"/>
    </xf>
    <xf numFmtId="0" fontId="4" fillId="0" borderId="0" xfId="0" applyFont="1" applyAlignment="1">
      <alignment horizontal="left" vertical="center"/>
    </xf>
    <xf numFmtId="0" fontId="9" fillId="0" borderId="0" xfId="0" applyFont="1" applyAlignment="1">
      <alignment horizontal="left" vertical="center"/>
    </xf>
    <xf numFmtId="0" fontId="10" fillId="7" borderId="0" xfId="0" applyFont="1" applyFill="1" applyAlignment="1">
      <alignment horizontal="center" vertical="center"/>
    </xf>
    <xf numFmtId="0" fontId="4" fillId="3" borderId="0" xfId="0" applyFont="1" applyFill="1" applyAlignment="1">
      <alignment horizontal="center" vertical="center"/>
    </xf>
    <xf numFmtId="0" fontId="11" fillId="4" borderId="0" xfId="0" applyFont="1" applyFill="1" applyAlignment="1">
      <alignment horizontal="left" vertical="center"/>
    </xf>
    <xf numFmtId="0" fontId="10" fillId="4" borderId="0" xfId="0" applyFont="1" applyFill="1" applyAlignment="1">
      <alignment horizontal="left" vertical="center"/>
    </xf>
    <xf numFmtId="164" fontId="12" fillId="7" borderId="0" xfId="0" applyNumberFormat="1" applyFont="1" applyFill="1" applyAlignment="1">
      <alignment horizontal="right" vertical="center"/>
    </xf>
    <xf numFmtId="164" fontId="12" fillId="7" borderId="0" xfId="0" applyNumberFormat="1" applyFont="1" applyFill="1" applyAlignment="1">
      <alignment horizontal="right"/>
    </xf>
    <xf numFmtId="164" fontId="12" fillId="3" borderId="0" xfId="0" applyNumberFormat="1" applyFont="1" applyFill="1" applyAlignment="1">
      <alignment horizontal="right" vertical="center"/>
    </xf>
    <xf numFmtId="0" fontId="13" fillId="4" borderId="0" xfId="0" applyFont="1" applyFill="1" applyAlignment="1">
      <alignment horizontal="left" vertical="center"/>
    </xf>
    <xf numFmtId="0" fontId="0" fillId="7" borderId="0" xfId="0" applyFill="1"/>
    <xf numFmtId="165" fontId="9" fillId="7" borderId="0" xfId="0" applyNumberFormat="1" applyFont="1" applyFill="1" applyAlignment="1">
      <alignment horizontal="right" vertical="center"/>
    </xf>
    <xf numFmtId="165" fontId="9" fillId="3" borderId="0" xfId="0" applyNumberFormat="1" applyFont="1" applyFill="1" applyAlignment="1">
      <alignment horizontal="right" vertical="center"/>
    </xf>
    <xf numFmtId="164" fontId="14" fillId="7" borderId="0" xfId="0" applyNumberFormat="1" applyFont="1" applyFill="1" applyAlignment="1">
      <alignment horizontal="right" vertical="center"/>
    </xf>
    <xf numFmtId="164" fontId="14" fillId="3" borderId="0" xfId="0" applyNumberFormat="1" applyFont="1" applyFill="1" applyAlignment="1">
      <alignment horizontal="right" vertical="center"/>
    </xf>
    <xf numFmtId="0" fontId="2" fillId="0" borderId="0" xfId="0" applyFont="1" applyAlignment="1">
      <alignment horizontal="left"/>
    </xf>
    <xf numFmtId="164" fontId="9" fillId="7" borderId="0" xfId="0" applyNumberFormat="1" applyFont="1" applyFill="1" applyAlignment="1">
      <alignment horizontal="right" vertical="center"/>
    </xf>
    <xf numFmtId="164" fontId="9" fillId="3" borderId="0" xfId="0" applyNumberFormat="1" applyFont="1" applyFill="1" applyAlignment="1">
      <alignment horizontal="right" vertical="center"/>
    </xf>
    <xf numFmtId="0" fontId="11" fillId="4" borderId="0" xfId="0" applyFont="1" applyFill="1" applyAlignment="1">
      <alignment horizontal="center" vertical="center"/>
    </xf>
    <xf numFmtId="0" fontId="15" fillId="0" borderId="0" xfId="0" applyFont="1" applyAlignment="1">
      <alignment horizontal="center" vertical="center"/>
    </xf>
    <xf numFmtId="164" fontId="9" fillId="7" borderId="0" xfId="0" applyNumberFormat="1" applyFont="1" applyFill="1" applyAlignment="1">
      <alignment horizontal="right"/>
    </xf>
    <xf numFmtId="164" fontId="9" fillId="3" borderId="0" xfId="0" applyNumberFormat="1" applyFont="1" applyFill="1" applyAlignment="1">
      <alignment horizontal="right"/>
    </xf>
    <xf numFmtId="0" fontId="16" fillId="8" borderId="0" xfId="0" applyFont="1" applyFill="1" applyAlignment="1">
      <alignment horizontal="center" vertical="center" wrapText="1"/>
    </xf>
    <xf numFmtId="0" fontId="7" fillId="3" borderId="0" xfId="0" applyFont="1" applyFill="1" applyAlignment="1">
      <alignment horizontal="left" vertical="center"/>
    </xf>
    <xf numFmtId="0" fontId="17" fillId="3" borderId="0" xfId="0" applyFont="1" applyFill="1" applyAlignment="1">
      <alignment horizontal="left" vertical="center"/>
    </xf>
    <xf numFmtId="0" fontId="17" fillId="3" borderId="0" xfId="0" applyFont="1" applyFill="1" applyAlignment="1">
      <alignment horizontal="center" vertical="center"/>
    </xf>
    <xf numFmtId="0" fontId="15" fillId="3" borderId="0" xfId="0" applyFont="1" applyFill="1" applyAlignment="1">
      <alignment horizontal="center" vertical="center"/>
    </xf>
    <xf numFmtId="0" fontId="18" fillId="3" borderId="0" xfId="0" applyFont="1" applyFill="1" applyAlignment="1">
      <alignment horizontal="center" vertical="center"/>
    </xf>
    <xf numFmtId="0" fontId="2" fillId="3" borderId="0" xfId="0" applyFont="1" applyFill="1" applyAlignment="1">
      <alignment horizontal="left" vertical="center"/>
    </xf>
    <xf numFmtId="0" fontId="7" fillId="7" borderId="0" xfId="0" applyFont="1" applyFill="1" applyAlignment="1">
      <alignment horizontal="left" vertical="center"/>
    </xf>
    <xf numFmtId="0" fontId="17" fillId="7" borderId="0" xfId="0" applyFont="1" applyFill="1" applyAlignment="1">
      <alignment horizontal="left" vertical="center"/>
    </xf>
    <xf numFmtId="0" fontId="17" fillId="7" borderId="0" xfId="0" applyFont="1" applyFill="1" applyAlignment="1">
      <alignment horizontal="center" vertical="center"/>
    </xf>
    <xf numFmtId="0" fontId="15" fillId="7" borderId="0" xfId="0" applyFont="1" applyFill="1" applyAlignment="1">
      <alignment horizontal="center" vertical="center"/>
    </xf>
    <xf numFmtId="0" fontId="19" fillId="7" borderId="0" xfId="0" applyFont="1" applyFill="1" applyAlignment="1">
      <alignment horizontal="center" vertical="center"/>
    </xf>
    <xf numFmtId="0" fontId="2" fillId="7" borderId="0" xfId="0" applyFont="1" applyFill="1" applyAlignment="1">
      <alignment horizontal="left" vertical="center"/>
    </xf>
    <xf numFmtId="0" fontId="7" fillId="4" borderId="0" xfId="0" applyFont="1" applyFill="1" applyAlignment="1">
      <alignment horizontal="left" vertical="center"/>
    </xf>
    <xf numFmtId="0" fontId="17" fillId="4" borderId="0" xfId="0" applyFont="1" applyFill="1" applyAlignment="1">
      <alignment horizontal="left" vertical="center"/>
    </xf>
    <xf numFmtId="164" fontId="12" fillId="4" borderId="0" xfId="0" applyNumberFormat="1" applyFont="1" applyFill="1" applyAlignment="1">
      <alignment horizontal="right" vertical="center"/>
    </xf>
    <xf numFmtId="0" fontId="17" fillId="4" borderId="0" xfId="0" applyFont="1" applyFill="1" applyAlignment="1">
      <alignment horizontal="center" vertical="center"/>
    </xf>
    <xf numFmtId="0" fontId="15" fillId="4" borderId="0" xfId="0" applyFont="1" applyFill="1" applyAlignment="1">
      <alignment horizontal="center" vertical="center"/>
    </xf>
    <xf numFmtId="0" fontId="18" fillId="4" borderId="0" xfId="0" applyFont="1" applyFill="1" applyAlignment="1">
      <alignment horizontal="center" vertical="center"/>
    </xf>
    <xf numFmtId="0" fontId="2" fillId="4" borderId="0" xfId="0" applyFont="1" applyFill="1" applyAlignment="1">
      <alignment horizontal="left" vertical="center"/>
    </xf>
    <xf numFmtId="0" fontId="0" fillId="4" borderId="0" xfId="0" applyFill="1"/>
    <xf numFmtId="0" fontId="20" fillId="4" borderId="0" xfId="0" applyFont="1" applyFill="1" applyAlignment="1">
      <alignment horizontal="center" vertical="center"/>
    </xf>
    <xf numFmtId="0" fontId="0" fillId="2" borderId="0" xfId="0" applyFill="1"/>
    <xf numFmtId="164" fontId="3" fillId="2" borderId="0" xfId="0" applyNumberFormat="1" applyFont="1" applyFill="1" applyAlignment="1">
      <alignment horizontal="right"/>
    </xf>
    <xf numFmtId="0" fontId="4" fillId="9" borderId="0" xfId="0" applyFont="1" applyFill="1" applyAlignment="1">
      <alignment horizontal="center" vertical="center"/>
    </xf>
    <xf numFmtId="0" fontId="4" fillId="4" borderId="0" xfId="0" applyFont="1" applyFill="1" applyAlignment="1">
      <alignment horizontal="left" vertical="center"/>
    </xf>
    <xf numFmtId="164" fontId="8" fillId="5" borderId="0" xfId="0" applyNumberFormat="1" applyFont="1" applyFill="1" applyAlignment="1">
      <alignment horizontal="right"/>
    </xf>
    <xf numFmtId="164" fontId="21" fillId="6" borderId="0" xfId="0" applyNumberFormat="1" applyFont="1" applyFill="1" applyAlignment="1">
      <alignment horizontal="right"/>
    </xf>
    <xf numFmtId="0" fontId="22" fillId="4" borderId="0" xfId="0" applyFont="1" applyFill="1" applyAlignment="1">
      <alignment horizontal="left" vertical="center"/>
    </xf>
    <xf numFmtId="165" fontId="23" fillId="5" borderId="0" xfId="0" applyNumberFormat="1" applyFont="1" applyFill="1" applyAlignment="1">
      <alignment horizontal="right"/>
    </xf>
    <xf numFmtId="165" fontId="23" fillId="7" borderId="0" xfId="0" applyNumberFormat="1" applyFont="1" applyFill="1" applyAlignment="1">
      <alignment horizontal="right"/>
    </xf>
    <xf numFmtId="0" fontId="2" fillId="0" borderId="0" xfId="0" applyFont="1"/>
    <xf numFmtId="164" fontId="2" fillId="0" borderId="0" xfId="0" applyNumberFormat="1" applyFont="1" applyAlignment="1">
      <alignment horizontal="right"/>
    </xf>
    <xf numFmtId="0" fontId="2" fillId="0" borderId="0" xfId="0" applyFont="1" applyAlignment="1">
      <alignment horizontal="right"/>
    </xf>
    <xf numFmtId="0" fontId="13" fillId="4" borderId="0" xfId="0" applyFont="1" applyFill="1" applyAlignment="1">
      <alignment horizontal="left" vertical="top" wrapText="1"/>
    </xf>
    <xf numFmtId="0" fontId="10" fillId="10" borderId="0" xfId="0" applyFont="1" applyFill="1" applyAlignment="1">
      <alignment horizontal="center" vertical="center"/>
    </xf>
    <xf numFmtId="0" fontId="8" fillId="5" borderId="0" xfId="0" applyFont="1" applyFill="1" applyAlignment="1">
      <alignment horizontal="center" vertical="center"/>
    </xf>
    <xf numFmtId="0" fontId="24" fillId="4" borderId="0" xfId="0" applyFont="1" applyFill="1" applyAlignment="1">
      <alignment horizontal="center" vertical="center"/>
    </xf>
    <xf numFmtId="165" fontId="12" fillId="3" borderId="0" xfId="0" applyNumberFormat="1" applyFont="1" applyFill="1" applyAlignment="1">
      <alignment horizontal="right" vertical="center"/>
    </xf>
    <xf numFmtId="165" fontId="12" fillId="10" borderId="0" xfId="0" applyNumberFormat="1" applyFont="1" applyFill="1" applyAlignment="1">
      <alignment horizontal="right" vertical="center"/>
    </xf>
    <xf numFmtId="165" fontId="12" fillId="5" borderId="0" xfId="0" applyNumberFormat="1" applyFont="1" applyFill="1" applyAlignment="1">
      <alignment horizontal="right" vertical="center"/>
    </xf>
    <xf numFmtId="164" fontId="12" fillId="10" borderId="0" xfId="0" applyNumberFormat="1" applyFont="1" applyFill="1" applyAlignment="1">
      <alignment horizontal="right" vertical="center"/>
    </xf>
    <xf numFmtId="164" fontId="12" fillId="5" borderId="0" xfId="0" applyNumberFormat="1" applyFont="1" applyFill="1" applyAlignment="1">
      <alignment horizontal="right" vertical="center"/>
    </xf>
    <xf numFmtId="164" fontId="9" fillId="10" borderId="0" xfId="0" applyNumberFormat="1" applyFont="1" applyFill="1" applyAlignment="1">
      <alignment horizontal="right" vertical="center"/>
    </xf>
    <xf numFmtId="164" fontId="9" fillId="5" borderId="0" xfId="0" applyNumberFormat="1" applyFont="1" applyFill="1" applyAlignment="1">
      <alignment horizontal="right" vertical="center"/>
    </xf>
    <xf numFmtId="164" fontId="25" fillId="5" borderId="0" xfId="0" applyNumberFormat="1" applyFont="1" applyFill="1" applyAlignment="1">
      <alignment horizontal="right" vertical="center"/>
    </xf>
    <xf numFmtId="164" fontId="5" fillId="3" borderId="0" xfId="0" applyNumberFormat="1" applyFont="1" applyFill="1" applyAlignment="1">
      <alignment horizontal="right" vertical="center"/>
    </xf>
    <xf numFmtId="164" fontId="14" fillId="10" borderId="0" xfId="0" applyNumberFormat="1" applyFont="1" applyFill="1" applyAlignment="1">
      <alignment horizontal="right" vertical="center"/>
    </xf>
    <xf numFmtId="164" fontId="8" fillId="5" borderId="0" xfId="0" applyNumberFormat="1" applyFont="1" applyFill="1" applyAlignment="1">
      <alignment horizontal="right" vertical="center"/>
    </xf>
    <xf numFmtId="166" fontId="14" fillId="3" borderId="0" xfId="0" applyNumberFormat="1" applyFont="1" applyFill="1" applyAlignment="1">
      <alignment horizontal="right" vertical="center"/>
    </xf>
    <xf numFmtId="166" fontId="14" fillId="10" borderId="0" xfId="0" applyNumberFormat="1" applyFont="1" applyFill="1" applyAlignment="1">
      <alignment horizontal="right" vertical="center"/>
    </xf>
    <xf numFmtId="166" fontId="14" fillId="5" borderId="0" xfId="0" applyNumberFormat="1" applyFont="1" applyFill="1" applyAlignment="1">
      <alignment horizontal="right" vertical="center"/>
    </xf>
    <xf numFmtId="166" fontId="8" fillId="5" borderId="0" xfId="0" applyNumberFormat="1" applyFont="1" applyFill="1" applyAlignment="1">
      <alignment horizontal="right" vertical="center"/>
    </xf>
    <xf numFmtId="0" fontId="4" fillId="10" borderId="0" xfId="0" applyFont="1" applyFill="1" applyAlignment="1">
      <alignment horizontal="left" vertical="center"/>
    </xf>
    <xf numFmtId="0" fontId="4" fillId="5" borderId="0" xfId="0" applyFont="1" applyFill="1" applyAlignment="1">
      <alignment horizontal="left" vertical="center"/>
    </xf>
    <xf numFmtId="0" fontId="3" fillId="8" borderId="0" xfId="0" applyFont="1" applyFill="1" applyAlignment="1">
      <alignment horizontal="left" vertical="center"/>
    </xf>
    <xf numFmtId="0" fontId="3" fillId="8" borderId="0" xfId="0" applyFont="1" applyFill="1" applyAlignment="1">
      <alignment horizontal="center" vertical="center"/>
    </xf>
    <xf numFmtId="1" fontId="10" fillId="10" borderId="0" xfId="0" applyNumberFormat="1" applyFont="1" applyFill="1" applyAlignment="1">
      <alignment horizontal="center" vertical="center"/>
    </xf>
    <xf numFmtId="9" fontId="21" fillId="0" borderId="0" xfId="0" applyNumberFormat="1" applyFont="1" applyAlignment="1">
      <alignment horizontal="center" vertical="center"/>
    </xf>
    <xf numFmtId="2" fontId="9" fillId="3" borderId="0" xfId="0" applyNumberFormat="1" applyFont="1" applyFill="1" applyAlignment="1">
      <alignment horizontal="right" vertical="center"/>
    </xf>
    <xf numFmtId="0" fontId="26" fillId="0" borderId="0" xfId="0" applyFont="1" applyAlignment="1">
      <alignment horizontal="left" vertical="center"/>
    </xf>
    <xf numFmtId="1" fontId="8" fillId="5" borderId="0" xfId="0" applyNumberFormat="1" applyFont="1" applyFill="1" applyAlignment="1">
      <alignment horizontal="center" vertical="center"/>
    </xf>
    <xf numFmtId="0" fontId="4" fillId="9" borderId="0" xfId="0" applyFont="1" applyFill="1" applyAlignment="1">
      <alignment horizontal="left" vertical="center"/>
    </xf>
    <xf numFmtId="2" fontId="14" fillId="11" borderId="0" xfId="0" applyNumberFormat="1" applyFont="1" applyFill="1" applyAlignment="1">
      <alignment horizontal="right" vertical="center"/>
    </xf>
    <xf numFmtId="0" fontId="6" fillId="0" borderId="0" xfId="0" applyFont="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2F2F2"/>
      <rgbColor rgb="FFEBF3FB"/>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E0E0"/>
      <rgbColor rgb="FF3366FF"/>
      <rgbColor rgb="FF33CCCC"/>
      <rgbColor rgb="FF99CC00"/>
      <rgbColor rgb="FFFFC000"/>
      <rgbColor rgb="FFFF9900"/>
      <rgbColor rgb="FFFF6600"/>
      <rgbColor rgb="FF666699"/>
      <rgbColor rgb="FF969696"/>
      <rgbColor rgb="FF1F3C6B"/>
      <rgbColor rgb="FF339966"/>
      <rgbColor rgb="FF003300"/>
      <rgbColor rgb="FF333300"/>
      <rgbColor rgb="FF993300"/>
      <rgbColor rgb="FF993366"/>
      <rgbColor rgb="FF2E5496"/>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
  <sheetViews>
    <sheetView showGridLines="0" tabSelected="1" zoomScaleNormal="100" workbookViewId="0">
      <pane ySplit="3" topLeftCell="A4" activePane="bottomLeft" state="frozen"/>
      <selection pane="bottomLeft" activeCell="D29" sqref="D29"/>
    </sheetView>
  </sheetViews>
  <sheetFormatPr defaultColWidth="8.7109375" defaultRowHeight="15" x14ac:dyDescent="0.25"/>
  <cols>
    <col min="1" max="1" width="36" customWidth="1"/>
    <col min="2" max="2" width="39.7109375" bestFit="1" customWidth="1"/>
    <col min="3" max="4" width="18" customWidth="1"/>
  </cols>
  <sheetData>
    <row r="1" spans="1:4" ht="30" customHeight="1" x14ac:dyDescent="0.25">
      <c r="A1" s="6" t="s">
        <v>0</v>
      </c>
      <c r="B1" s="6"/>
      <c r="C1" s="6"/>
      <c r="D1" s="6"/>
    </row>
    <row r="2" spans="1:4" ht="15" customHeight="1" x14ac:dyDescent="0.25">
      <c r="A2" s="5" t="s">
        <v>246</v>
      </c>
      <c r="B2" s="5"/>
      <c r="C2" s="5"/>
      <c r="D2" s="5"/>
    </row>
    <row r="4" spans="1:4" ht="15" customHeight="1" x14ac:dyDescent="0.25">
      <c r="A4" s="4" t="s">
        <v>1</v>
      </c>
      <c r="B4" s="4"/>
      <c r="C4" s="4"/>
      <c r="D4" s="4"/>
    </row>
    <row r="5" spans="1:4" ht="15" customHeight="1" x14ac:dyDescent="0.25">
      <c r="A5" s="9" t="s">
        <v>2</v>
      </c>
      <c r="B5" s="10">
        <f>'Financial Profile'!D6</f>
        <v>1363</v>
      </c>
      <c r="C5" s="3"/>
      <c r="D5" s="3"/>
    </row>
    <row r="6" spans="1:4" ht="15" customHeight="1" x14ac:dyDescent="0.25">
      <c r="A6" s="9" t="s">
        <v>3</v>
      </c>
      <c r="B6" s="10">
        <f>'Financial Profile'!D8</f>
        <v>178</v>
      </c>
      <c r="C6" s="3"/>
      <c r="D6" s="3"/>
    </row>
    <row r="7" spans="1:4" ht="15" customHeight="1" x14ac:dyDescent="0.25">
      <c r="A7" s="9" t="s">
        <v>4</v>
      </c>
      <c r="B7" s="11">
        <f>'Financial Profile'!D8/'Financial Profile'!D6</f>
        <v>0.13059427732942039</v>
      </c>
      <c r="C7" s="3"/>
      <c r="D7" s="3"/>
    </row>
    <row r="8" spans="1:4" ht="15" customHeight="1" x14ac:dyDescent="0.25">
      <c r="A8" s="9" t="s">
        <v>5</v>
      </c>
      <c r="B8" s="10">
        <f>'Financial Profile'!D27</f>
        <v>1050</v>
      </c>
      <c r="C8" s="3"/>
      <c r="D8" s="3"/>
    </row>
    <row r="9" spans="1:4" ht="15" customHeight="1" x14ac:dyDescent="0.25">
      <c r="A9" s="9" t="s">
        <v>6</v>
      </c>
      <c r="B9" s="12">
        <f>'Financial Profile'!D27/'Financial Profile'!D8</f>
        <v>5.8988764044943824</v>
      </c>
      <c r="C9" s="3"/>
      <c r="D9" s="3"/>
    </row>
    <row r="10" spans="1:4" ht="15" customHeight="1" x14ac:dyDescent="0.25">
      <c r="A10" s="9" t="s">
        <v>7</v>
      </c>
      <c r="B10" s="12">
        <f>'Financial Profile'!D8/ABS('Financial Profile'!D13)</f>
        <v>1.8163265306122449</v>
      </c>
      <c r="C10" s="3"/>
      <c r="D10" s="3"/>
    </row>
    <row r="11" spans="1:4" ht="15" customHeight="1" x14ac:dyDescent="0.25">
      <c r="A11" s="9" t="s">
        <v>8</v>
      </c>
      <c r="B11" s="10">
        <f>'Financial Profile'!D21</f>
        <v>-24</v>
      </c>
      <c r="C11" s="3"/>
      <c r="D11" s="3"/>
    </row>
    <row r="12" spans="1:4" ht="15" customHeight="1" x14ac:dyDescent="0.25">
      <c r="A12" s="9" t="s">
        <v>9</v>
      </c>
      <c r="B12" s="10">
        <f>'Financial Profile'!D25</f>
        <v>380</v>
      </c>
      <c r="C12" s="3"/>
      <c r="D12" s="3"/>
    </row>
    <row r="13" spans="1:4" ht="15" customHeight="1" x14ac:dyDescent="0.25">
      <c r="A13" s="9" t="s">
        <v>10</v>
      </c>
      <c r="B13" s="13" t="s">
        <v>11</v>
      </c>
      <c r="C13" s="3"/>
      <c r="D13" s="3"/>
    </row>
    <row r="15" spans="1:4" ht="15" customHeight="1" x14ac:dyDescent="0.25">
      <c r="A15" s="4" t="s">
        <v>12</v>
      </c>
      <c r="B15" s="4"/>
      <c r="C15" s="4"/>
      <c r="D15" s="4"/>
    </row>
    <row r="16" spans="1:4" ht="15" customHeight="1" x14ac:dyDescent="0.25">
      <c r="A16" s="14" t="s">
        <v>13</v>
      </c>
      <c r="B16" s="15" t="s">
        <v>14</v>
      </c>
      <c r="C16" s="3"/>
      <c r="D16" s="3"/>
    </row>
    <row r="17" spans="1:4" ht="15" customHeight="1" x14ac:dyDescent="0.25">
      <c r="A17" s="14" t="s">
        <v>15</v>
      </c>
      <c r="B17" s="15" t="s">
        <v>16</v>
      </c>
      <c r="C17" s="3"/>
      <c r="D17" s="3"/>
    </row>
    <row r="18" spans="1:4" ht="15" customHeight="1" x14ac:dyDescent="0.25">
      <c r="A18" s="16" t="s">
        <v>17</v>
      </c>
      <c r="B18" s="17" t="s">
        <v>18</v>
      </c>
      <c r="C18" s="3"/>
      <c r="D18" s="3"/>
    </row>
    <row r="20" spans="1:4" ht="15" customHeight="1" x14ac:dyDescent="0.25">
      <c r="A20" s="4" t="s">
        <v>19</v>
      </c>
      <c r="B20" s="4"/>
      <c r="C20" s="4"/>
      <c r="D20" s="4"/>
    </row>
    <row r="21" spans="1:4" ht="15" customHeight="1" x14ac:dyDescent="0.25">
      <c r="A21" s="18" t="s">
        <v>20</v>
      </c>
      <c r="B21" s="5" t="s">
        <v>21</v>
      </c>
      <c r="C21" s="5"/>
      <c r="D21" s="5"/>
    </row>
    <row r="22" spans="1:4" ht="15" customHeight="1" x14ac:dyDescent="0.25">
      <c r="A22" s="18" t="s">
        <v>22</v>
      </c>
      <c r="B22" s="5" t="s">
        <v>23</v>
      </c>
      <c r="C22" s="5"/>
      <c r="D22" s="5"/>
    </row>
    <row r="23" spans="1:4" ht="15" customHeight="1" x14ac:dyDescent="0.25">
      <c r="A23" s="18" t="s">
        <v>24</v>
      </c>
      <c r="B23" s="5" t="s">
        <v>25</v>
      </c>
      <c r="C23" s="5"/>
      <c r="D23" s="5"/>
    </row>
    <row r="24" spans="1:4" ht="15" customHeight="1" x14ac:dyDescent="0.25">
      <c r="A24" s="18" t="s">
        <v>26</v>
      </c>
      <c r="B24" s="5" t="s">
        <v>27</v>
      </c>
      <c r="C24" s="5"/>
      <c r="D24" s="5"/>
    </row>
    <row r="25" spans="1:4" ht="15" customHeight="1" x14ac:dyDescent="0.25">
      <c r="A25" s="18" t="s">
        <v>28</v>
      </c>
      <c r="B25" s="5" t="s">
        <v>29</v>
      </c>
      <c r="C25" s="5"/>
      <c r="D25" s="5"/>
    </row>
    <row r="26" spans="1:4" ht="15" customHeight="1" x14ac:dyDescent="0.25">
      <c r="A26" s="18" t="s">
        <v>30</v>
      </c>
      <c r="B26" s="5" t="s">
        <v>31</v>
      </c>
      <c r="C26" s="5"/>
      <c r="D26" s="5"/>
    </row>
  </sheetData>
  <mergeCells count="23">
    <mergeCell ref="B24:D24"/>
    <mergeCell ref="B25:D25"/>
    <mergeCell ref="B26:D26"/>
    <mergeCell ref="C18:D18"/>
    <mergeCell ref="A20:D20"/>
    <mergeCell ref="B21:D21"/>
    <mergeCell ref="B22:D22"/>
    <mergeCell ref="B23:D23"/>
    <mergeCell ref="C12:D12"/>
    <mergeCell ref="C13:D13"/>
    <mergeCell ref="A15:D15"/>
    <mergeCell ref="C16:D16"/>
    <mergeCell ref="C17:D17"/>
    <mergeCell ref="C7:D7"/>
    <mergeCell ref="C8:D8"/>
    <mergeCell ref="C9:D9"/>
    <mergeCell ref="C10:D10"/>
    <mergeCell ref="C11:D11"/>
    <mergeCell ref="A1:D1"/>
    <mergeCell ref="A2:D2"/>
    <mergeCell ref="A4:D4"/>
    <mergeCell ref="C5:D5"/>
    <mergeCell ref="C6:D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9"/>
  <sheetViews>
    <sheetView showGridLines="0" zoomScaleNormal="100" workbookViewId="0">
      <pane xSplit="1" ySplit="4" topLeftCell="B5" activePane="bottomRight" state="frozen"/>
      <selection pane="topRight" activeCell="B1" sqref="B1"/>
      <selection pane="bottomLeft" activeCell="A5" sqref="A5"/>
      <selection pane="bottomRight" sqref="A1:F1"/>
    </sheetView>
  </sheetViews>
  <sheetFormatPr defaultColWidth="8.7109375" defaultRowHeight="15" x14ac:dyDescent="0.25"/>
  <cols>
    <col min="1" max="1" width="38" customWidth="1"/>
    <col min="2" max="7" width="14" customWidth="1"/>
  </cols>
  <sheetData>
    <row r="1" spans="1:7" ht="25.5" customHeight="1" x14ac:dyDescent="0.25">
      <c r="A1" s="6" t="s">
        <v>32</v>
      </c>
      <c r="B1" s="6"/>
      <c r="C1" s="6"/>
      <c r="D1" s="6"/>
      <c r="E1" s="6"/>
      <c r="F1" s="6"/>
    </row>
    <row r="2" spans="1:7" ht="15" customHeight="1" x14ac:dyDescent="0.25">
      <c r="A2" s="5" t="s">
        <v>33</v>
      </c>
      <c r="B2" s="5"/>
      <c r="C2" s="5"/>
      <c r="D2" s="5"/>
      <c r="E2" s="5"/>
      <c r="F2" s="5"/>
    </row>
    <row r="4" spans="1:7" ht="15" customHeight="1" x14ac:dyDescent="0.25">
      <c r="A4" s="19"/>
      <c r="B4" s="20" t="s">
        <v>34</v>
      </c>
      <c r="C4" s="20" t="s">
        <v>35</v>
      </c>
      <c r="D4" s="20" t="s">
        <v>36</v>
      </c>
      <c r="E4" s="21" t="s">
        <v>37</v>
      </c>
      <c r="F4" s="21" t="s">
        <v>38</v>
      </c>
      <c r="G4" s="22" t="s">
        <v>39</v>
      </c>
    </row>
    <row r="5" spans="1:7" ht="15" customHeight="1" x14ac:dyDescent="0.25">
      <c r="A5" s="4" t="s">
        <v>40</v>
      </c>
      <c r="B5" s="4"/>
      <c r="C5" s="4"/>
      <c r="D5" s="4"/>
      <c r="E5" s="4"/>
      <c r="F5" s="4"/>
      <c r="G5" s="4"/>
    </row>
    <row r="6" spans="1:7" ht="15" customHeight="1" x14ac:dyDescent="0.25">
      <c r="A6" s="23" t="s">
        <v>2</v>
      </c>
      <c r="B6" s="24">
        <v>1219.5</v>
      </c>
      <c r="C6" s="25">
        <v>1293</v>
      </c>
      <c r="D6" s="24">
        <v>1363</v>
      </c>
      <c r="E6" s="26">
        <v>1498</v>
      </c>
      <c r="F6" s="26">
        <v>1628</v>
      </c>
      <c r="G6" s="7" t="s">
        <v>41</v>
      </c>
    </row>
    <row r="7" spans="1:7" ht="15" customHeight="1" x14ac:dyDescent="0.25">
      <c r="A7" s="27" t="s">
        <v>42</v>
      </c>
      <c r="B7" s="28"/>
      <c r="C7" s="29">
        <f>(C6-B6)/B6</f>
        <v>6.0270602706027063E-2</v>
      </c>
      <c r="D7" s="29">
        <f>(D6-C6)/C6</f>
        <v>5.4137664346481054E-2</v>
      </c>
      <c r="E7" s="30">
        <f>(E6-D6)/D6</f>
        <v>9.9046221570066026E-2</v>
      </c>
      <c r="F7" s="30">
        <f>(F6-E6)/E6</f>
        <v>8.678237650200267E-2</v>
      </c>
    </row>
    <row r="8" spans="1:7" ht="15" customHeight="1" x14ac:dyDescent="0.25">
      <c r="A8" s="23" t="s">
        <v>3</v>
      </c>
      <c r="B8" s="24">
        <v>62</v>
      </c>
      <c r="C8" s="24">
        <v>107.9</v>
      </c>
      <c r="D8" s="24">
        <v>178</v>
      </c>
      <c r="E8" s="26">
        <v>235</v>
      </c>
      <c r="F8" s="26">
        <v>295</v>
      </c>
      <c r="G8" s="7" t="s">
        <v>43</v>
      </c>
    </row>
    <row r="9" spans="1:7" ht="15" customHeight="1" x14ac:dyDescent="0.25">
      <c r="A9" s="27" t="s">
        <v>44</v>
      </c>
      <c r="B9" s="29">
        <f>B8/B6</f>
        <v>5.0840508405084049E-2</v>
      </c>
      <c r="C9" s="29">
        <f>C8/C6</f>
        <v>8.34493426140758E-2</v>
      </c>
      <c r="D9" s="29">
        <f>D8/D6</f>
        <v>0.13059427732942039</v>
      </c>
      <c r="E9" s="30">
        <f>E8/E6</f>
        <v>0.1568758344459279</v>
      </c>
      <c r="F9" s="30">
        <f>F8/F6</f>
        <v>0.18120393120393122</v>
      </c>
    </row>
    <row r="10" spans="1:7" ht="15" customHeight="1" x14ac:dyDescent="0.25">
      <c r="A10" s="27" t="s">
        <v>45</v>
      </c>
      <c r="B10" s="24">
        <v>-220</v>
      </c>
      <c r="C10" s="24">
        <v>-238</v>
      </c>
      <c r="D10" s="24">
        <v>-252</v>
      </c>
      <c r="E10" s="26">
        <v>-265</v>
      </c>
      <c r="F10" s="26">
        <v>-278</v>
      </c>
      <c r="G10" s="7" t="s">
        <v>46</v>
      </c>
    </row>
    <row r="11" spans="1:7" ht="15" customHeight="1" x14ac:dyDescent="0.25">
      <c r="A11" s="23" t="s">
        <v>47</v>
      </c>
      <c r="B11" s="31">
        <f>B8+B10</f>
        <v>-158</v>
      </c>
      <c r="C11" s="31">
        <f>C8+C10</f>
        <v>-130.1</v>
      </c>
      <c r="D11" s="31">
        <f>D8+D10</f>
        <v>-74</v>
      </c>
      <c r="E11" s="32">
        <f>E8+E10</f>
        <v>-30</v>
      </c>
      <c r="F11" s="32">
        <f>F8+F10</f>
        <v>17</v>
      </c>
      <c r="G11" s="33" t="s">
        <v>48</v>
      </c>
    </row>
    <row r="12" spans="1:7" ht="15" customHeight="1" x14ac:dyDescent="0.25">
      <c r="A12" s="27" t="s">
        <v>49</v>
      </c>
      <c r="B12" s="29">
        <f>B11/B6</f>
        <v>-0.12956129561295612</v>
      </c>
      <c r="C12" s="29">
        <f>C11/C6</f>
        <v>-0.10061871616395977</v>
      </c>
      <c r="D12" s="29">
        <f>D11/D6</f>
        <v>-5.4292002934702863E-2</v>
      </c>
      <c r="E12" s="30">
        <f>E11/E6</f>
        <v>-2.0026702269692925E-2</v>
      </c>
      <c r="F12" s="30">
        <f>F11/F6</f>
        <v>1.0442260442260442E-2</v>
      </c>
    </row>
    <row r="13" spans="1:7" ht="15" customHeight="1" x14ac:dyDescent="0.25">
      <c r="A13" s="27" t="s">
        <v>50</v>
      </c>
      <c r="B13" s="24">
        <v>-85</v>
      </c>
      <c r="C13" s="24">
        <v>-92</v>
      </c>
      <c r="D13" s="24">
        <v>-98</v>
      </c>
      <c r="E13" s="26">
        <v>-105</v>
      </c>
      <c r="F13" s="26">
        <v>-110</v>
      </c>
      <c r="G13" s="7" t="s">
        <v>51</v>
      </c>
    </row>
    <row r="14" spans="1:7" ht="15" customHeight="1" x14ac:dyDescent="0.25">
      <c r="A14" s="27" t="s">
        <v>52</v>
      </c>
      <c r="B14" s="34">
        <f>B11+B13</f>
        <v>-243</v>
      </c>
      <c r="C14" s="34">
        <f>C11+C13</f>
        <v>-222.1</v>
      </c>
      <c r="D14" s="34">
        <f>D11+D13</f>
        <v>-172</v>
      </c>
      <c r="E14" s="35">
        <f>E11+E13</f>
        <v>-135</v>
      </c>
      <c r="F14" s="35">
        <f>F11+F13</f>
        <v>-93</v>
      </c>
      <c r="G14" s="33" t="s">
        <v>53</v>
      </c>
    </row>
    <row r="15" spans="1:7" ht="15" customHeight="1" x14ac:dyDescent="0.25">
      <c r="A15" s="27" t="s">
        <v>54</v>
      </c>
      <c r="B15" s="24">
        <v>-5</v>
      </c>
      <c r="C15" s="24">
        <v>-8</v>
      </c>
      <c r="D15" s="24">
        <v>-10</v>
      </c>
      <c r="E15" s="26">
        <v>-12</v>
      </c>
      <c r="F15" s="26">
        <v>-15</v>
      </c>
      <c r="G15" s="7" t="s">
        <v>55</v>
      </c>
    </row>
    <row r="16" spans="1:7" ht="15" customHeight="1" x14ac:dyDescent="0.25">
      <c r="A16" s="23" t="s">
        <v>56</v>
      </c>
      <c r="B16" s="31">
        <f>B14+B15</f>
        <v>-248</v>
      </c>
      <c r="C16" s="31">
        <f>C14+C15</f>
        <v>-230.1</v>
      </c>
      <c r="D16" s="31">
        <f>D14+D15</f>
        <v>-182</v>
      </c>
      <c r="E16" s="32">
        <f>E14+E15</f>
        <v>-147</v>
      </c>
      <c r="F16" s="32">
        <f>F14+F15</f>
        <v>-108</v>
      </c>
    </row>
    <row r="18" spans="1:7" ht="15" customHeight="1" x14ac:dyDescent="0.25">
      <c r="A18" s="4" t="s">
        <v>57</v>
      </c>
      <c r="B18" s="4"/>
      <c r="C18" s="4"/>
      <c r="D18" s="4"/>
      <c r="E18" s="4"/>
      <c r="F18" s="4"/>
      <c r="G18" s="4"/>
    </row>
    <row r="19" spans="1:7" ht="15" customHeight="1" x14ac:dyDescent="0.25">
      <c r="A19" s="27" t="s">
        <v>58</v>
      </c>
      <c r="B19" s="24">
        <v>-384</v>
      </c>
      <c r="C19" s="24">
        <v>-298</v>
      </c>
      <c r="D19" s="24">
        <v>-220</v>
      </c>
      <c r="E19" s="26">
        <v>-190</v>
      </c>
      <c r="F19" s="26">
        <v>-175</v>
      </c>
      <c r="G19" s="7" t="s">
        <v>59</v>
      </c>
    </row>
    <row r="20" spans="1:7" ht="15" customHeight="1" x14ac:dyDescent="0.25">
      <c r="A20" s="27" t="s">
        <v>60</v>
      </c>
      <c r="B20" s="24">
        <v>-45</v>
      </c>
      <c r="C20" s="24">
        <v>-22</v>
      </c>
      <c r="D20" s="24">
        <v>18</v>
      </c>
      <c r="E20" s="26">
        <v>15</v>
      </c>
      <c r="F20" s="26">
        <v>12</v>
      </c>
      <c r="G20" s="7" t="s">
        <v>61</v>
      </c>
    </row>
    <row r="21" spans="1:7" ht="15" customHeight="1" x14ac:dyDescent="0.25">
      <c r="A21" s="23" t="s">
        <v>8</v>
      </c>
      <c r="B21" s="31">
        <f>B8+B19+B20</f>
        <v>-367</v>
      </c>
      <c r="C21" s="31">
        <f>C8+C19+C20</f>
        <v>-212.1</v>
      </c>
      <c r="D21" s="31">
        <f>D8+D19+D20</f>
        <v>-24</v>
      </c>
      <c r="E21" s="32">
        <f>E8+E19+E20</f>
        <v>60</v>
      </c>
      <c r="F21" s="32">
        <f>F8+F19+F20</f>
        <v>132</v>
      </c>
      <c r="G21" s="33" t="s">
        <v>62</v>
      </c>
    </row>
    <row r="22" spans="1:7" ht="15" customHeight="1" x14ac:dyDescent="0.25">
      <c r="A22" s="27" t="s">
        <v>63</v>
      </c>
      <c r="B22" s="29">
        <f>B21/B6</f>
        <v>-0.30094300943009428</v>
      </c>
      <c r="C22" s="29">
        <f>C21/C6</f>
        <v>-0.16403712296983758</v>
      </c>
      <c r="D22" s="29">
        <f>D21/D6</f>
        <v>-1.7608217168011739E-2</v>
      </c>
      <c r="E22" s="30">
        <f>E21/E6</f>
        <v>4.0053404539385849E-2</v>
      </c>
      <c r="F22" s="30">
        <f>F21/F6</f>
        <v>8.1081081081081086E-2</v>
      </c>
    </row>
    <row r="24" spans="1:7" ht="15" customHeight="1" x14ac:dyDescent="0.25">
      <c r="A24" s="4" t="s">
        <v>64</v>
      </c>
      <c r="B24" s="4"/>
      <c r="C24" s="4"/>
      <c r="D24" s="4"/>
      <c r="E24" s="4"/>
      <c r="F24" s="4"/>
      <c r="G24" s="4"/>
    </row>
    <row r="25" spans="1:7" ht="15" customHeight="1" x14ac:dyDescent="0.25">
      <c r="A25" s="27" t="s">
        <v>9</v>
      </c>
      <c r="B25" s="24">
        <v>549</v>
      </c>
      <c r="C25" s="24">
        <v>436</v>
      </c>
      <c r="D25" s="24">
        <v>380</v>
      </c>
      <c r="E25" s="26">
        <v>390</v>
      </c>
      <c r="F25" s="26">
        <v>430</v>
      </c>
      <c r="G25" s="33" t="s">
        <v>65</v>
      </c>
    </row>
    <row r="26" spans="1:7" ht="15" customHeight="1" x14ac:dyDescent="0.25">
      <c r="A26" s="27" t="s">
        <v>66</v>
      </c>
      <c r="B26" s="24">
        <v>1385</v>
      </c>
      <c r="C26" s="24">
        <v>1430</v>
      </c>
      <c r="D26" s="24">
        <v>1430</v>
      </c>
      <c r="E26" s="26">
        <v>1380</v>
      </c>
      <c r="F26" s="26">
        <v>1330</v>
      </c>
      <c r="G26" s="33" t="s">
        <v>67</v>
      </c>
    </row>
    <row r="27" spans="1:7" ht="15" customHeight="1" x14ac:dyDescent="0.25">
      <c r="A27" s="23" t="s">
        <v>5</v>
      </c>
      <c r="B27" s="31">
        <f>B26-B25</f>
        <v>836</v>
      </c>
      <c r="C27" s="31">
        <f>C26-C25</f>
        <v>994</v>
      </c>
      <c r="D27" s="31">
        <f>D26-D25</f>
        <v>1050</v>
      </c>
      <c r="E27" s="32">
        <f>E26-E25</f>
        <v>990</v>
      </c>
      <c r="F27" s="32">
        <f>F26-F25</f>
        <v>900</v>
      </c>
      <c r="G27" s="33" t="s">
        <v>68</v>
      </c>
    </row>
    <row r="28" spans="1:7" ht="15" customHeight="1" x14ac:dyDescent="0.25">
      <c r="A28" s="27" t="s">
        <v>69</v>
      </c>
      <c r="B28" s="24">
        <v>1820</v>
      </c>
      <c r="C28" s="24">
        <v>1650</v>
      </c>
      <c r="D28" s="24">
        <v>1580</v>
      </c>
      <c r="E28" s="26">
        <v>1620</v>
      </c>
      <c r="F28" s="26">
        <v>1680</v>
      </c>
      <c r="G28" s="7" t="s">
        <v>70</v>
      </c>
    </row>
    <row r="29" spans="1:7" ht="15" customHeight="1" x14ac:dyDescent="0.25">
      <c r="A29" s="27" t="s">
        <v>71</v>
      </c>
      <c r="B29" s="24">
        <v>4200</v>
      </c>
      <c r="C29" s="24">
        <v>4050</v>
      </c>
      <c r="D29" s="24">
        <v>3980</v>
      </c>
      <c r="E29" s="26">
        <v>3950</v>
      </c>
      <c r="F29" s="26">
        <v>3960</v>
      </c>
    </row>
  </sheetData>
  <mergeCells count="5">
    <mergeCell ref="A1:F1"/>
    <mergeCell ref="A2:F2"/>
    <mergeCell ref="A5:G5"/>
    <mergeCell ref="A18:G18"/>
    <mergeCell ref="A24:G2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1"/>
  <sheetViews>
    <sheetView showGridLines="0" zoomScaleNormal="100" workbookViewId="0">
      <pane xSplit="1" ySplit="4" topLeftCell="B5" activePane="bottomRight" state="frozen"/>
      <selection pane="topRight" activeCell="B1" sqref="B1"/>
      <selection pane="bottomLeft" activeCell="A5" sqref="A5"/>
      <selection pane="bottomRight" sqref="A1:H1"/>
    </sheetView>
  </sheetViews>
  <sheetFormatPr defaultColWidth="8.7109375" defaultRowHeight="15" x14ac:dyDescent="0.25"/>
  <cols>
    <col min="1" max="1" width="40" customWidth="1"/>
    <col min="2" max="8" width="13" customWidth="1"/>
  </cols>
  <sheetData>
    <row r="1" spans="1:8" ht="25.5" customHeight="1" x14ac:dyDescent="0.25">
      <c r="A1" s="6" t="s">
        <v>72</v>
      </c>
      <c r="B1" s="6"/>
      <c r="C1" s="6"/>
      <c r="D1" s="6"/>
      <c r="E1" s="6"/>
      <c r="F1" s="6"/>
      <c r="G1" s="6"/>
      <c r="H1" s="6"/>
    </row>
    <row r="2" spans="1:8" ht="15" customHeight="1" x14ac:dyDescent="0.25">
      <c r="A2" s="5" t="s">
        <v>73</v>
      </c>
      <c r="B2" s="5"/>
      <c r="C2" s="5"/>
      <c r="D2" s="5"/>
      <c r="E2" s="5"/>
      <c r="F2" s="5"/>
      <c r="G2" s="5"/>
      <c r="H2" s="5"/>
    </row>
    <row r="4" spans="1:8" ht="15" customHeight="1" x14ac:dyDescent="0.25">
      <c r="A4" s="19"/>
      <c r="B4" s="20" t="s">
        <v>34</v>
      </c>
      <c r="C4" s="20" t="s">
        <v>35</v>
      </c>
      <c r="D4" s="20" t="s">
        <v>36</v>
      </c>
      <c r="E4" s="21" t="s">
        <v>37</v>
      </c>
      <c r="F4" s="21" t="s">
        <v>38</v>
      </c>
      <c r="G4" s="36" t="s">
        <v>74</v>
      </c>
      <c r="H4" s="36" t="s">
        <v>75</v>
      </c>
    </row>
    <row r="5" spans="1:8" ht="15" customHeight="1" x14ac:dyDescent="0.25">
      <c r="A5" s="4" t="s">
        <v>76</v>
      </c>
      <c r="B5" s="4"/>
      <c r="C5" s="4"/>
      <c r="D5" s="4"/>
      <c r="E5" s="4"/>
      <c r="F5" s="4"/>
      <c r="G5" s="4"/>
      <c r="H5" s="4"/>
    </row>
    <row r="6" spans="1:8" ht="15" customHeight="1" x14ac:dyDescent="0.25">
      <c r="A6" s="27" t="s">
        <v>77</v>
      </c>
      <c r="B6" s="34">
        <f>'Financial Profile'!B27/'Financial Profile'!B8</f>
        <v>13.483870967741936</v>
      </c>
      <c r="C6" s="34">
        <f>'Financial Profile'!C27/'Financial Profile'!C8</f>
        <v>9.2122335495829475</v>
      </c>
      <c r="D6" s="34">
        <f>'Financial Profile'!D27/'Financial Profile'!D8</f>
        <v>5.8988764044943824</v>
      </c>
      <c r="E6" s="35">
        <f>'Financial Profile'!E27/'Financial Profile'!E8</f>
        <v>4.2127659574468082</v>
      </c>
      <c r="F6" s="35">
        <f>'Financial Profile'!F27/'Financial Profile'!F8</f>
        <v>3.0508474576271185</v>
      </c>
      <c r="G6" s="37" t="s">
        <v>78</v>
      </c>
      <c r="H6" s="7" t="s">
        <v>79</v>
      </c>
    </row>
    <row r="7" spans="1:8" ht="15" customHeight="1" x14ac:dyDescent="0.25">
      <c r="A7" s="27" t="s">
        <v>80</v>
      </c>
      <c r="B7" s="34">
        <f>'Financial Profile'!B26/'Financial Profile'!B8</f>
        <v>22.338709677419356</v>
      </c>
      <c r="C7" s="34">
        <f>'Financial Profile'!C26/'Financial Profile'!C8</f>
        <v>13.253012048192771</v>
      </c>
      <c r="D7" s="34">
        <f>'Financial Profile'!D26/'Financial Profile'!D8</f>
        <v>8.0337078651685392</v>
      </c>
      <c r="E7" s="35">
        <f>'Financial Profile'!E26/'Financial Profile'!E8</f>
        <v>5.8723404255319149</v>
      </c>
      <c r="F7" s="35">
        <f>'Financial Profile'!F26/'Financial Profile'!F8</f>
        <v>4.5084745762711869</v>
      </c>
      <c r="G7" s="37" t="s">
        <v>81</v>
      </c>
      <c r="H7" s="7" t="s">
        <v>82</v>
      </c>
    </row>
    <row r="8" spans="1:8" ht="15" customHeight="1" x14ac:dyDescent="0.25">
      <c r="A8" s="27" t="s">
        <v>83</v>
      </c>
      <c r="B8" s="29">
        <f>'Financial Profile'!B27/'Financial Profile'!B29</f>
        <v>0.19904761904761906</v>
      </c>
      <c r="C8" s="29">
        <f>'Financial Profile'!C27/'Financial Profile'!C29</f>
        <v>0.24543209876543209</v>
      </c>
      <c r="D8" s="29">
        <f>'Financial Profile'!D27/'Financial Profile'!D29</f>
        <v>0.26381909547738691</v>
      </c>
      <c r="E8" s="30">
        <f>'Financial Profile'!E27/'Financial Profile'!E29</f>
        <v>0.25063291139240507</v>
      </c>
      <c r="F8" s="30">
        <f>'Financial Profile'!F27/'Financial Profile'!F29</f>
        <v>0.22727272727272727</v>
      </c>
      <c r="G8" s="37" t="s">
        <v>84</v>
      </c>
      <c r="H8" s="7" t="s">
        <v>85</v>
      </c>
    </row>
    <row r="9" spans="1:8" ht="15" customHeight="1" x14ac:dyDescent="0.25">
      <c r="A9" s="27" t="s">
        <v>86</v>
      </c>
      <c r="B9" s="34">
        <f>'Financial Profile'!B27/'Financial Profile'!B28</f>
        <v>0.45934065934065932</v>
      </c>
      <c r="C9" s="34">
        <f>'Financial Profile'!C27/'Financial Profile'!C28</f>
        <v>0.60242424242424242</v>
      </c>
      <c r="D9" s="34">
        <f>'Financial Profile'!D27/'Financial Profile'!D28</f>
        <v>0.66455696202531644</v>
      </c>
      <c r="E9" s="35">
        <f>'Financial Profile'!E27/'Financial Profile'!E28</f>
        <v>0.61111111111111116</v>
      </c>
      <c r="F9" s="35">
        <f>'Financial Profile'!F27/'Financial Profile'!F28</f>
        <v>0.5357142857142857</v>
      </c>
      <c r="G9" s="37" t="s">
        <v>87</v>
      </c>
      <c r="H9" s="7" t="s">
        <v>88</v>
      </c>
    </row>
    <row r="11" spans="1:8" ht="15" customHeight="1" x14ac:dyDescent="0.25">
      <c r="A11" s="4" t="s">
        <v>89</v>
      </c>
      <c r="B11" s="4"/>
      <c r="C11" s="4"/>
      <c r="D11" s="4"/>
      <c r="E11" s="4"/>
      <c r="F11" s="4"/>
      <c r="G11" s="4"/>
      <c r="H11" s="4"/>
    </row>
    <row r="12" spans="1:8" ht="15" customHeight="1" x14ac:dyDescent="0.25">
      <c r="A12" s="27" t="s">
        <v>90</v>
      </c>
      <c r="B12" s="34">
        <f>'Financial Profile'!B8/ABS('Financial Profile'!B13)</f>
        <v>0.72941176470588232</v>
      </c>
      <c r="C12" s="34">
        <f>'Financial Profile'!C8/ABS('Financial Profile'!C13)</f>
        <v>1.1728260869565219</v>
      </c>
      <c r="D12" s="34">
        <f>'Financial Profile'!D8/ABS('Financial Profile'!D13)</f>
        <v>1.8163265306122449</v>
      </c>
      <c r="E12" s="35">
        <f>'Financial Profile'!E8/ABS('Financial Profile'!E13)</f>
        <v>2.2380952380952381</v>
      </c>
      <c r="F12" s="35">
        <f>'Financial Profile'!F8/ABS('Financial Profile'!F13)</f>
        <v>2.6818181818181817</v>
      </c>
      <c r="G12" s="37" t="s">
        <v>91</v>
      </c>
      <c r="H12" s="7" t="s">
        <v>92</v>
      </c>
    </row>
    <row r="13" spans="1:8" ht="15" customHeight="1" x14ac:dyDescent="0.25">
      <c r="A13" s="27" t="s">
        <v>93</v>
      </c>
      <c r="B13" s="38" t="str">
        <f>IF('Financial Profile'!B11&lt;0,"n/m",'Financial Profile'!B11/ABS('Financial Profile'!B13))</f>
        <v>n/m</v>
      </c>
      <c r="C13" s="38" t="str">
        <f>IF('Financial Profile'!C11&lt;0,"n/m",'Financial Profile'!C11/ABS('Financial Profile'!C13))</f>
        <v>n/m</v>
      </c>
      <c r="D13" s="38" t="str">
        <f>IF('Financial Profile'!D11&lt;0,"n/m",'Financial Profile'!D11/ABS('Financial Profile'!D13))</f>
        <v>n/m</v>
      </c>
      <c r="E13" s="39" t="str">
        <f>IF('Financial Profile'!E11&lt;0,"n/m",'Financial Profile'!E11/ABS('Financial Profile'!E13))</f>
        <v>n/m</v>
      </c>
      <c r="F13" s="39">
        <f>IF('Financial Profile'!F11&lt;0,"n/m",'Financial Profile'!F11/ABS('Financial Profile'!F13))</f>
        <v>0.15454545454545454</v>
      </c>
      <c r="G13" s="37" t="s">
        <v>94</v>
      </c>
      <c r="H13" s="7" t="s">
        <v>95</v>
      </c>
    </row>
    <row r="14" spans="1:8" ht="15" customHeight="1" x14ac:dyDescent="0.25">
      <c r="A14" s="27" t="s">
        <v>96</v>
      </c>
      <c r="B14" s="29">
        <f>'Financial Profile'!B21/'Financial Profile'!B26</f>
        <v>-0.26498194945848375</v>
      </c>
      <c r="C14" s="29">
        <f>'Financial Profile'!C21/'Financial Profile'!C26</f>
        <v>-0.14832167832167831</v>
      </c>
      <c r="D14" s="29">
        <f>'Financial Profile'!D21/'Financial Profile'!D26</f>
        <v>-1.6783216783216783E-2</v>
      </c>
      <c r="E14" s="30">
        <f>'Financial Profile'!E21/'Financial Profile'!E26</f>
        <v>4.3478260869565216E-2</v>
      </c>
      <c r="F14" s="30">
        <f>'Financial Profile'!F21/'Financial Profile'!F26</f>
        <v>9.9248120300751877E-2</v>
      </c>
      <c r="G14" s="37" t="s">
        <v>97</v>
      </c>
      <c r="H14" s="7" t="s">
        <v>98</v>
      </c>
    </row>
    <row r="15" spans="1:8" ht="15" customHeight="1" x14ac:dyDescent="0.25">
      <c r="A15" s="27" t="s">
        <v>99</v>
      </c>
      <c r="B15" s="34">
        <f>('Financial Profile'!B8+'Financial Profile'!B19)/ABS('Financial Profile'!B13)</f>
        <v>-3.7882352941176469</v>
      </c>
      <c r="C15" s="34">
        <f>('Financial Profile'!C8+'Financial Profile'!C19)/ABS('Financial Profile'!C13)</f>
        <v>-2.0663043478260867</v>
      </c>
      <c r="D15" s="34">
        <f>('Financial Profile'!D8+'Financial Profile'!D19)/ABS('Financial Profile'!D13)</f>
        <v>-0.42857142857142855</v>
      </c>
      <c r="E15" s="35">
        <f>('Financial Profile'!E8+'Financial Profile'!E19)/ABS('Financial Profile'!E13)</f>
        <v>0.42857142857142855</v>
      </c>
      <c r="F15" s="35">
        <f>('Financial Profile'!F8+'Financial Profile'!F19)/ABS('Financial Profile'!F13)</f>
        <v>1.0909090909090908</v>
      </c>
      <c r="G15" s="37" t="s">
        <v>94</v>
      </c>
      <c r="H15" s="7" t="s">
        <v>100</v>
      </c>
    </row>
    <row r="17" spans="1:8" ht="15" customHeight="1" x14ac:dyDescent="0.25">
      <c r="A17" s="4" t="s">
        <v>101</v>
      </c>
      <c r="B17" s="4"/>
      <c r="C17" s="4"/>
      <c r="D17" s="4"/>
      <c r="E17" s="4"/>
      <c r="F17" s="4"/>
      <c r="G17" s="4"/>
      <c r="H17" s="4"/>
    </row>
    <row r="18" spans="1:8" ht="15" customHeight="1" x14ac:dyDescent="0.25">
      <c r="A18" s="27" t="s">
        <v>102</v>
      </c>
      <c r="B18" s="34">
        <f>'Financial Profile'!B25</f>
        <v>549</v>
      </c>
      <c r="C18" s="34">
        <f>'Financial Profile'!C25</f>
        <v>436</v>
      </c>
      <c r="D18" s="34">
        <f>'Financial Profile'!D25</f>
        <v>380</v>
      </c>
      <c r="E18" s="35">
        <f>'Financial Profile'!E25</f>
        <v>390</v>
      </c>
      <c r="F18" s="35">
        <f>'Financial Profile'!F25</f>
        <v>430</v>
      </c>
      <c r="G18" s="37" t="s">
        <v>103</v>
      </c>
      <c r="H18" s="7" t="s">
        <v>104</v>
      </c>
    </row>
    <row r="19" spans="1:8" ht="15" customHeight="1" x14ac:dyDescent="0.25">
      <c r="A19" s="27" t="s">
        <v>105</v>
      </c>
      <c r="B19" s="29">
        <f>'Financial Profile'!B25/'Financial Profile'!B6</f>
        <v>0.45018450184501846</v>
      </c>
      <c r="C19" s="29">
        <f>'Financial Profile'!C25/'Financial Profile'!C6</f>
        <v>0.33720030935808198</v>
      </c>
      <c r="D19" s="29">
        <f>'Financial Profile'!D25/'Financial Profile'!D6</f>
        <v>0.27879677182685253</v>
      </c>
      <c r="E19" s="30">
        <f>'Financial Profile'!E25/'Financial Profile'!E6</f>
        <v>0.26034712950600802</v>
      </c>
      <c r="F19" s="30">
        <f>'Financial Profile'!F25/'Financial Profile'!F6</f>
        <v>0.26412776412776412</v>
      </c>
      <c r="G19" s="37" t="s">
        <v>106</v>
      </c>
      <c r="H19" s="7" t="s">
        <v>107</v>
      </c>
    </row>
    <row r="20" spans="1:8" ht="15" customHeight="1" x14ac:dyDescent="0.25">
      <c r="A20" s="27" t="s">
        <v>108</v>
      </c>
      <c r="B20" s="34">
        <f>'Financial Profile'!B25/ABS('Financial Profile'!B13)</f>
        <v>6.4588235294117649</v>
      </c>
      <c r="C20" s="34">
        <f>'Financial Profile'!C25/ABS('Financial Profile'!C13)</f>
        <v>4.7391304347826084</v>
      </c>
      <c r="D20" s="34">
        <f>'Financial Profile'!D25/ABS('Financial Profile'!D13)</f>
        <v>3.8775510204081631</v>
      </c>
      <c r="E20" s="35">
        <f>'Financial Profile'!E25/ABS('Financial Profile'!E13)</f>
        <v>3.7142857142857144</v>
      </c>
      <c r="F20" s="35">
        <f>'Financial Profile'!F25/ABS('Financial Profile'!F13)</f>
        <v>3.9090909090909092</v>
      </c>
      <c r="G20" s="37" t="s">
        <v>109</v>
      </c>
      <c r="H20" s="7" t="s">
        <v>110</v>
      </c>
    </row>
    <row r="21" spans="1:8" ht="15" customHeight="1" x14ac:dyDescent="0.25">
      <c r="A21" s="27" t="s">
        <v>111</v>
      </c>
      <c r="B21" s="34">
        <f>MIN('Financial Profile'!B21,0)</f>
        <v>-367</v>
      </c>
      <c r="C21" s="34">
        <f>MIN('Financial Profile'!C21,0)</f>
        <v>-212.1</v>
      </c>
      <c r="D21" s="34">
        <f>MIN('Financial Profile'!D21,0)</f>
        <v>-24</v>
      </c>
      <c r="E21" s="35">
        <f>MIN('Financial Profile'!E21,0)</f>
        <v>0</v>
      </c>
      <c r="F21" s="35">
        <f>MIN('Financial Profile'!F21,0)</f>
        <v>0</v>
      </c>
      <c r="G21" s="37" t="s">
        <v>112</v>
      </c>
      <c r="H21" s="7" t="s">
        <v>113</v>
      </c>
    </row>
  </sheetData>
  <mergeCells count="5">
    <mergeCell ref="A1:H1"/>
    <mergeCell ref="A2:H2"/>
    <mergeCell ref="A5:H5"/>
    <mergeCell ref="A11:H11"/>
    <mergeCell ref="A17:H17"/>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2"/>
  <sheetViews>
    <sheetView showGridLines="0" zoomScaleNormal="100" workbookViewId="0">
      <pane ySplit="4" topLeftCell="A5" activePane="bottomLeft" state="frozen"/>
      <selection pane="bottomLeft" activeCell="L22" sqref="L22"/>
    </sheetView>
  </sheetViews>
  <sheetFormatPr defaultColWidth="8.7109375" defaultRowHeight="15" x14ac:dyDescent="0.25"/>
  <cols>
    <col min="1" max="1" width="36" customWidth="1"/>
    <col min="2" max="9" width="12" customWidth="1"/>
  </cols>
  <sheetData>
    <row r="1" spans="1:9" ht="25.5" customHeight="1" x14ac:dyDescent="0.25">
      <c r="A1" s="6" t="s">
        <v>114</v>
      </c>
      <c r="B1" s="6"/>
      <c r="C1" s="6"/>
      <c r="D1" s="6"/>
      <c r="E1" s="6"/>
      <c r="F1" s="6"/>
      <c r="G1" s="6"/>
      <c r="H1" s="6"/>
      <c r="I1" s="6"/>
    </row>
    <row r="2" spans="1:9" ht="15" customHeight="1" x14ac:dyDescent="0.25">
      <c r="A2" s="5" t="s">
        <v>115</v>
      </c>
      <c r="B2" s="5"/>
      <c r="C2" s="5"/>
      <c r="D2" s="5"/>
      <c r="E2" s="5"/>
      <c r="F2" s="5"/>
      <c r="G2" s="5"/>
      <c r="H2" s="5"/>
      <c r="I2" s="5"/>
    </row>
    <row r="4" spans="1:9" ht="15" customHeight="1" x14ac:dyDescent="0.25">
      <c r="A4" s="4" t="s">
        <v>116</v>
      </c>
      <c r="B4" s="4"/>
      <c r="C4" s="4"/>
      <c r="D4" s="4"/>
      <c r="E4" s="4"/>
      <c r="F4" s="4"/>
      <c r="G4" s="4"/>
      <c r="H4" s="4"/>
      <c r="I4" s="4"/>
    </row>
    <row r="5" spans="1:9" ht="24" customHeight="1" x14ac:dyDescent="0.25">
      <c r="A5" s="40" t="s">
        <v>117</v>
      </c>
      <c r="B5" s="40" t="s">
        <v>118</v>
      </c>
      <c r="C5" s="40" t="s">
        <v>119</v>
      </c>
      <c r="D5" s="40" t="s">
        <v>120</v>
      </c>
      <c r="E5" s="40" t="s">
        <v>121</v>
      </c>
      <c r="F5" s="40" t="s">
        <v>122</v>
      </c>
      <c r="G5" s="40" t="s">
        <v>123</v>
      </c>
      <c r="H5" s="40" t="s">
        <v>124</v>
      </c>
      <c r="I5" s="40" t="s">
        <v>39</v>
      </c>
    </row>
    <row r="6" spans="1:9" ht="15" customHeight="1" x14ac:dyDescent="0.25">
      <c r="A6" s="41" t="s">
        <v>125</v>
      </c>
      <c r="B6" s="42" t="s">
        <v>126</v>
      </c>
      <c r="C6" s="26">
        <v>500</v>
      </c>
      <c r="D6" s="43" t="s">
        <v>127</v>
      </c>
      <c r="E6" s="44" t="s">
        <v>128</v>
      </c>
      <c r="F6" s="42" t="s">
        <v>129</v>
      </c>
      <c r="G6" s="43" t="s">
        <v>130</v>
      </c>
      <c r="H6" s="45" t="s">
        <v>131</v>
      </c>
      <c r="I6" s="46" t="s">
        <v>251</v>
      </c>
    </row>
    <row r="7" spans="1:9" ht="15" customHeight="1" x14ac:dyDescent="0.25">
      <c r="A7" s="41" t="s">
        <v>125</v>
      </c>
      <c r="B7" s="42" t="s">
        <v>126</v>
      </c>
      <c r="C7" s="26">
        <v>350</v>
      </c>
      <c r="D7" s="43" t="s">
        <v>132</v>
      </c>
      <c r="E7" s="44" t="s">
        <v>133</v>
      </c>
      <c r="F7" s="42" t="s">
        <v>129</v>
      </c>
      <c r="G7" s="43" t="s">
        <v>130</v>
      </c>
      <c r="H7" s="45" t="s">
        <v>131</v>
      </c>
      <c r="I7" s="46" t="s">
        <v>134</v>
      </c>
    </row>
    <row r="8" spans="1:9" ht="15" customHeight="1" x14ac:dyDescent="0.25">
      <c r="A8" s="47" t="s">
        <v>135</v>
      </c>
      <c r="B8" s="48" t="s">
        <v>136</v>
      </c>
      <c r="C8" s="24">
        <v>325</v>
      </c>
      <c r="D8" s="49" t="s">
        <v>137</v>
      </c>
      <c r="E8" s="50" t="s">
        <v>138</v>
      </c>
      <c r="F8" s="48" t="s">
        <v>139</v>
      </c>
      <c r="G8" s="49" t="s">
        <v>130</v>
      </c>
      <c r="H8" s="51" t="s">
        <v>140</v>
      </c>
      <c r="I8" s="52" t="s">
        <v>141</v>
      </c>
    </row>
    <row r="9" spans="1:9" ht="15" customHeight="1" x14ac:dyDescent="0.25">
      <c r="A9" s="53" t="s">
        <v>142</v>
      </c>
      <c r="B9" s="54" t="s">
        <v>143</v>
      </c>
      <c r="C9" s="55">
        <v>255</v>
      </c>
      <c r="D9" s="56" t="s">
        <v>144</v>
      </c>
      <c r="E9" s="57" t="s">
        <v>145</v>
      </c>
      <c r="F9" s="54" t="s">
        <v>146</v>
      </c>
      <c r="G9" s="56" t="s">
        <v>130</v>
      </c>
      <c r="H9" s="58" t="s">
        <v>131</v>
      </c>
      <c r="I9" s="59" t="s">
        <v>250</v>
      </c>
    </row>
    <row r="10" spans="1:9" ht="15" customHeight="1" x14ac:dyDescent="0.25">
      <c r="A10" s="53" t="s">
        <v>147</v>
      </c>
      <c r="B10" s="54" t="s">
        <v>148</v>
      </c>
      <c r="C10" s="60"/>
      <c r="D10" s="56" t="s">
        <v>149</v>
      </c>
      <c r="E10" s="61" t="s">
        <v>149</v>
      </c>
      <c r="F10" s="54" t="s">
        <v>150</v>
      </c>
      <c r="G10" s="56" t="s">
        <v>130</v>
      </c>
      <c r="H10" s="56" t="s">
        <v>150</v>
      </c>
      <c r="I10" s="59" t="s">
        <v>151</v>
      </c>
    </row>
    <row r="11" spans="1:9" ht="15" customHeight="1" x14ac:dyDescent="0.25">
      <c r="A11" s="8" t="s">
        <v>152</v>
      </c>
      <c r="B11" s="62"/>
      <c r="C11" s="63">
        <f>SUM(C6,C7,C8)</f>
        <v>1175</v>
      </c>
      <c r="D11" s="62"/>
      <c r="E11" s="62"/>
      <c r="F11" s="62"/>
      <c r="G11" s="62"/>
      <c r="H11" s="62"/>
      <c r="I11" s="62"/>
    </row>
    <row r="13" spans="1:9" ht="15" customHeight="1" x14ac:dyDescent="0.25">
      <c r="A13" s="4" t="s">
        <v>153</v>
      </c>
      <c r="B13" s="4"/>
      <c r="C13" s="4"/>
      <c r="D13" s="4"/>
      <c r="E13" s="4"/>
      <c r="F13" s="4"/>
      <c r="G13" s="4"/>
      <c r="H13" s="4"/>
      <c r="I13" s="4"/>
    </row>
    <row r="14" spans="1:9" ht="15" customHeight="1" x14ac:dyDescent="0.25">
      <c r="A14" s="19" t="s">
        <v>154</v>
      </c>
      <c r="B14" s="64" t="s">
        <v>155</v>
      </c>
      <c r="C14" s="64" t="s">
        <v>156</v>
      </c>
      <c r="D14" s="64" t="s">
        <v>157</v>
      </c>
      <c r="E14" s="64" t="s">
        <v>158</v>
      </c>
      <c r="F14" s="64" t="s">
        <v>159</v>
      </c>
    </row>
    <row r="15" spans="1:9" ht="15" customHeight="1" x14ac:dyDescent="0.25">
      <c r="A15" s="65" t="s">
        <v>160</v>
      </c>
      <c r="B15" s="66">
        <v>500</v>
      </c>
      <c r="C15" s="66">
        <v>675</v>
      </c>
      <c r="D15" s="67">
        <v>0</v>
      </c>
      <c r="E15" s="67">
        <v>0</v>
      </c>
      <c r="F15" s="67">
        <v>0</v>
      </c>
    </row>
    <row r="16" spans="1:9" ht="15" customHeight="1" x14ac:dyDescent="0.25">
      <c r="A16" s="68" t="s">
        <v>161</v>
      </c>
      <c r="B16" s="69">
        <v>0.42553191489361702</v>
      </c>
      <c r="C16" s="69">
        <v>0.57446808510638303</v>
      </c>
      <c r="D16" s="70">
        <v>0</v>
      </c>
      <c r="E16" s="70">
        <v>0</v>
      </c>
      <c r="F16" s="70">
        <v>0</v>
      </c>
    </row>
    <row r="17" spans="1:9" x14ac:dyDescent="0.25">
      <c r="A17" s="71" t="s">
        <v>162</v>
      </c>
      <c r="B17" s="72">
        <v>255</v>
      </c>
      <c r="C17" s="73"/>
      <c r="D17" s="73"/>
      <c r="E17" s="73"/>
      <c r="F17" s="73"/>
      <c r="I17" s="71" t="s">
        <v>252</v>
      </c>
    </row>
    <row r="18" spans="1:9" ht="15" customHeight="1" x14ac:dyDescent="0.25">
      <c r="A18" s="4" t="s">
        <v>163</v>
      </c>
      <c r="B18" s="4"/>
      <c r="C18" s="4"/>
      <c r="D18" s="4"/>
      <c r="E18" s="4"/>
      <c r="F18" s="4"/>
      <c r="G18" s="4"/>
      <c r="H18" s="4"/>
      <c r="I18" s="4"/>
    </row>
    <row r="19" spans="1:9" ht="45" customHeight="1" x14ac:dyDescent="0.25">
      <c r="A19" s="9" t="s">
        <v>164</v>
      </c>
      <c r="B19" s="2" t="s">
        <v>253</v>
      </c>
      <c r="C19" s="2"/>
      <c r="D19" s="2"/>
      <c r="E19" s="2"/>
      <c r="F19" s="2"/>
      <c r="G19" s="2"/>
      <c r="H19" s="2"/>
      <c r="I19" s="2"/>
    </row>
    <row r="20" spans="1:9" ht="45" customHeight="1" x14ac:dyDescent="0.25">
      <c r="A20" s="9" t="s">
        <v>165</v>
      </c>
      <c r="B20" s="2" t="s">
        <v>254</v>
      </c>
      <c r="C20" s="2"/>
      <c r="D20" s="2"/>
      <c r="E20" s="2"/>
      <c r="F20" s="2"/>
      <c r="G20" s="2"/>
      <c r="H20" s="2"/>
      <c r="I20" s="2"/>
    </row>
    <row r="21" spans="1:9" ht="45" customHeight="1" x14ac:dyDescent="0.25">
      <c r="A21" s="9" t="s">
        <v>166</v>
      </c>
      <c r="B21" s="2" t="s">
        <v>255</v>
      </c>
      <c r="C21" s="2"/>
      <c r="D21" s="2"/>
      <c r="E21" s="2"/>
      <c r="F21" s="2"/>
      <c r="G21" s="2"/>
      <c r="H21" s="2"/>
      <c r="I21" s="2"/>
    </row>
    <row r="22" spans="1:9" ht="45" customHeight="1" x14ac:dyDescent="0.25">
      <c r="A22" s="9" t="s">
        <v>167</v>
      </c>
      <c r="B22" s="2" t="s">
        <v>256</v>
      </c>
      <c r="C22" s="2"/>
      <c r="D22" s="2"/>
      <c r="E22" s="2"/>
      <c r="F22" s="2"/>
      <c r="G22" s="2"/>
      <c r="H22" s="2"/>
      <c r="I22" s="2"/>
    </row>
  </sheetData>
  <mergeCells count="9">
    <mergeCell ref="B19:I19"/>
    <mergeCell ref="B20:I20"/>
    <mergeCell ref="B21:I21"/>
    <mergeCell ref="B22:I22"/>
    <mergeCell ref="A1:I1"/>
    <mergeCell ref="A2:I2"/>
    <mergeCell ref="A4:I4"/>
    <mergeCell ref="A13:I13"/>
    <mergeCell ref="A18:I18"/>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7"/>
  <sheetViews>
    <sheetView showGridLines="0" zoomScaleNormal="100" workbookViewId="0">
      <pane xSplit="1" ySplit="4" topLeftCell="B8" activePane="bottomRight" state="frozen"/>
      <selection pane="topRight" activeCell="B1" sqref="B1"/>
      <selection pane="bottomLeft" activeCell="A5" sqref="A5"/>
      <selection pane="bottomRight" activeCell="H20" sqref="H20"/>
    </sheetView>
  </sheetViews>
  <sheetFormatPr defaultColWidth="8.7109375" defaultRowHeight="15" x14ac:dyDescent="0.25"/>
  <cols>
    <col min="1" max="1" width="36" customWidth="1"/>
    <col min="2" max="5" width="16" customWidth="1"/>
  </cols>
  <sheetData>
    <row r="1" spans="1:5" ht="25.5" customHeight="1" x14ac:dyDescent="0.25">
      <c r="A1" s="6" t="s">
        <v>168</v>
      </c>
      <c r="B1" s="6"/>
      <c r="C1" s="6"/>
      <c r="D1" s="6"/>
      <c r="E1" s="6"/>
    </row>
    <row r="2" spans="1:5" ht="15" customHeight="1" x14ac:dyDescent="0.25">
      <c r="A2" s="5" t="s">
        <v>169</v>
      </c>
      <c r="B2" s="5"/>
      <c r="C2" s="5"/>
      <c r="D2" s="5"/>
      <c r="E2" s="5"/>
    </row>
    <row r="4" spans="1:5" ht="21.75" customHeight="1" x14ac:dyDescent="0.25">
      <c r="A4" s="21" t="s">
        <v>170</v>
      </c>
      <c r="B4" s="75" t="s">
        <v>171</v>
      </c>
      <c r="C4" s="76" t="s">
        <v>172</v>
      </c>
      <c r="D4" s="77" t="s">
        <v>39</v>
      </c>
    </row>
    <row r="5" spans="1:5" ht="15" customHeight="1" x14ac:dyDescent="0.25">
      <c r="A5" s="4" t="s">
        <v>173</v>
      </c>
      <c r="B5" s="4"/>
      <c r="C5" s="4"/>
      <c r="D5" s="4"/>
      <c r="E5" s="4"/>
    </row>
    <row r="6" spans="1:5" ht="15" customHeight="1" x14ac:dyDescent="0.25">
      <c r="A6" s="27" t="s">
        <v>174</v>
      </c>
      <c r="B6" s="78">
        <v>0.1</v>
      </c>
      <c r="C6" s="79">
        <v>0.04</v>
      </c>
      <c r="D6" s="80">
        <v>-0.05</v>
      </c>
      <c r="E6" s="7" t="s">
        <v>175</v>
      </c>
    </row>
    <row r="7" spans="1:5" ht="15" customHeight="1" x14ac:dyDescent="0.25">
      <c r="A7" s="27" t="s">
        <v>176</v>
      </c>
      <c r="B7" s="78">
        <v>0.157</v>
      </c>
      <c r="C7" s="79">
        <v>0.13</v>
      </c>
      <c r="D7" s="80">
        <v>0.09</v>
      </c>
      <c r="E7" s="7" t="s">
        <v>177</v>
      </c>
    </row>
    <row r="8" spans="1:5" ht="15" customHeight="1" x14ac:dyDescent="0.25">
      <c r="A8" s="27" t="s">
        <v>178</v>
      </c>
      <c r="B8" s="26">
        <v>-190</v>
      </c>
      <c r="C8" s="81">
        <v>-210</v>
      </c>
      <c r="D8" s="82">
        <v>-240</v>
      </c>
      <c r="E8" s="7" t="s">
        <v>179</v>
      </c>
    </row>
    <row r="9" spans="1:5" ht="15" customHeight="1" x14ac:dyDescent="0.25">
      <c r="A9" s="27" t="s">
        <v>180</v>
      </c>
      <c r="B9" s="26">
        <v>15</v>
      </c>
      <c r="C9" s="81">
        <v>5</v>
      </c>
      <c r="D9" s="82">
        <v>-20</v>
      </c>
      <c r="E9" s="7" t="s">
        <v>181</v>
      </c>
    </row>
    <row r="10" spans="1:5" ht="15" customHeight="1" x14ac:dyDescent="0.25">
      <c r="A10" s="27" t="s">
        <v>182</v>
      </c>
      <c r="B10" s="26">
        <v>-98</v>
      </c>
      <c r="C10" s="81">
        <v>-98</v>
      </c>
      <c r="D10" s="82">
        <v>-98</v>
      </c>
      <c r="E10" s="7" t="s">
        <v>249</v>
      </c>
    </row>
    <row r="12" spans="1:5" ht="15" customHeight="1" x14ac:dyDescent="0.25">
      <c r="A12" s="4" t="s">
        <v>183</v>
      </c>
      <c r="B12" s="4"/>
      <c r="C12" s="4"/>
      <c r="D12" s="4"/>
      <c r="E12" s="4"/>
    </row>
    <row r="13" spans="1:5" ht="15" customHeight="1" x14ac:dyDescent="0.25">
      <c r="A13" s="27" t="s">
        <v>184</v>
      </c>
      <c r="B13" s="35">
        <f>1363*(1+B6)</f>
        <v>1499.3000000000002</v>
      </c>
      <c r="C13" s="83">
        <f>1363*(1+C6)</f>
        <v>1417.52</v>
      </c>
      <c r="D13" s="84">
        <f>1363*(1+D6)</f>
        <v>1294.8499999999999</v>
      </c>
    </row>
    <row r="14" spans="1:5" ht="15" customHeight="1" x14ac:dyDescent="0.25">
      <c r="A14" s="27" t="s">
        <v>185</v>
      </c>
      <c r="B14" s="35">
        <f>1363*(1+B6)*B7</f>
        <v>235.39010000000002</v>
      </c>
      <c r="C14" s="83">
        <f>1363*(1+C6)*C7</f>
        <v>184.27760000000001</v>
      </c>
      <c r="D14" s="84">
        <f>1363*(1+D6)*D7</f>
        <v>116.53649999999999</v>
      </c>
    </row>
    <row r="15" spans="1:5" ht="15" customHeight="1" x14ac:dyDescent="0.25">
      <c r="A15" s="27" t="s">
        <v>186</v>
      </c>
      <c r="B15" s="35">
        <f t="shared" ref="B15:D16" si="0">B8</f>
        <v>-190</v>
      </c>
      <c r="C15" s="83">
        <f t="shared" si="0"/>
        <v>-210</v>
      </c>
      <c r="D15" s="84">
        <f t="shared" si="0"/>
        <v>-240</v>
      </c>
    </row>
    <row r="16" spans="1:5" ht="15" customHeight="1" x14ac:dyDescent="0.25">
      <c r="A16" s="27" t="s">
        <v>187</v>
      </c>
      <c r="B16" s="35">
        <f t="shared" si="0"/>
        <v>15</v>
      </c>
      <c r="C16" s="83">
        <f t="shared" si="0"/>
        <v>5</v>
      </c>
      <c r="D16" s="84">
        <f t="shared" si="0"/>
        <v>-20</v>
      </c>
    </row>
    <row r="17" spans="1:5" ht="15" customHeight="1" x14ac:dyDescent="0.25">
      <c r="A17" s="27" t="s">
        <v>188</v>
      </c>
      <c r="B17" s="35">
        <f>1363*(1+B6)*B7+B8+B9</f>
        <v>60.390100000000018</v>
      </c>
      <c r="C17" s="83">
        <f>1363*(1+C6)*C7+C8+C9</f>
        <v>-20.722399999999993</v>
      </c>
      <c r="D17" s="85">
        <f>1363*(1+D6)*D7+D8+D9</f>
        <v>-143.46350000000001</v>
      </c>
    </row>
    <row r="18" spans="1:5" ht="15" customHeight="1" x14ac:dyDescent="0.25">
      <c r="A18" s="27" t="s">
        <v>189</v>
      </c>
      <c r="B18" s="35">
        <f>B10</f>
        <v>-98</v>
      </c>
      <c r="C18" s="83">
        <f>C10</f>
        <v>-98</v>
      </c>
      <c r="D18" s="84">
        <f>D10</f>
        <v>-98</v>
      </c>
    </row>
    <row r="19" spans="1:5" ht="15" customHeight="1" x14ac:dyDescent="0.25">
      <c r="A19" s="23" t="s">
        <v>190</v>
      </c>
      <c r="B19" s="86">
        <f>1363*(1+B6)*B7+B8+B9+B10</f>
        <v>-37.609899999999982</v>
      </c>
      <c r="C19" s="87">
        <f>1363*(1+C6)*C7+C8+C9+C10</f>
        <v>-118.72239999999999</v>
      </c>
      <c r="D19" s="88">
        <f>1363*(1+D6)*D7+D8+D9+D10</f>
        <v>-241.46350000000001</v>
      </c>
    </row>
    <row r="20" spans="1:5" ht="15" customHeight="1" x14ac:dyDescent="0.25">
      <c r="A20" s="23" t="s">
        <v>191</v>
      </c>
      <c r="B20" s="89">
        <f>1050/(1363*(1+B6)*B7)</f>
        <v>4.460680376957229</v>
      </c>
      <c r="C20" s="90">
        <f>1050/(1363*(1+C6)*C7)</f>
        <v>5.6979253039978817</v>
      </c>
      <c r="D20" s="91">
        <f>1050/(1363*(1+D6)*D7)</f>
        <v>9.0100526444504521</v>
      </c>
    </row>
    <row r="21" spans="1:5" ht="15" customHeight="1" x14ac:dyDescent="0.25">
      <c r="A21" s="23" t="s">
        <v>192</v>
      </c>
      <c r="B21" s="89">
        <f>(1363*(1+B6)*B7)/ABS(B10)</f>
        <v>2.4019397959183677</v>
      </c>
      <c r="C21" s="90">
        <f>(1363*(1+C6)*C7)/ABS(C10)</f>
        <v>1.8803836734693877</v>
      </c>
      <c r="D21" s="92">
        <f>(1363*(1+D6)*D7)/ABS(D10)</f>
        <v>1.1891479591836733</v>
      </c>
    </row>
    <row r="24" spans="1:5" ht="15" customHeight="1" x14ac:dyDescent="0.25">
      <c r="A24" s="4" t="s">
        <v>193</v>
      </c>
      <c r="B24" s="4"/>
      <c r="C24" s="4"/>
      <c r="D24" s="4"/>
      <c r="E24" s="4"/>
    </row>
    <row r="25" spans="1:5" ht="54.75" customHeight="1" x14ac:dyDescent="0.25">
      <c r="A25" s="9" t="s">
        <v>170</v>
      </c>
      <c r="B25" s="2" t="s">
        <v>194</v>
      </c>
      <c r="C25" s="2"/>
      <c r="D25" s="2"/>
      <c r="E25" s="2"/>
    </row>
    <row r="26" spans="1:5" ht="54.75" customHeight="1" x14ac:dyDescent="0.25">
      <c r="A26" s="93" t="s">
        <v>171</v>
      </c>
      <c r="B26" s="2" t="s">
        <v>247</v>
      </c>
      <c r="C26" s="2"/>
      <c r="D26" s="2"/>
      <c r="E26" s="2"/>
    </row>
    <row r="27" spans="1:5" ht="54.75" customHeight="1" x14ac:dyDescent="0.25">
      <c r="A27" s="94" t="s">
        <v>172</v>
      </c>
      <c r="B27" s="2" t="s">
        <v>248</v>
      </c>
      <c r="C27" s="2"/>
      <c r="D27" s="2"/>
      <c r="E27" s="2"/>
    </row>
  </sheetData>
  <mergeCells count="8">
    <mergeCell ref="B25:E25"/>
    <mergeCell ref="B26:E26"/>
    <mergeCell ref="B27:E27"/>
    <mergeCell ref="A1:E1"/>
    <mergeCell ref="A2:E2"/>
    <mergeCell ref="A5:E5"/>
    <mergeCell ref="A12:E12"/>
    <mergeCell ref="A24:E24"/>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3"/>
  <sheetViews>
    <sheetView showGridLines="0" zoomScaleNormal="100" workbookViewId="0">
      <pane ySplit="4" topLeftCell="A5" activePane="bottomLeft" state="frozen"/>
      <selection pane="bottomLeft" activeCell="J13" sqref="J13"/>
    </sheetView>
  </sheetViews>
  <sheetFormatPr defaultColWidth="8.7109375" defaultRowHeight="15" x14ac:dyDescent="0.25"/>
  <cols>
    <col min="1" max="1" width="30" customWidth="1"/>
    <col min="2" max="2" width="16" customWidth="1"/>
    <col min="3" max="4" width="10" customWidth="1"/>
    <col min="5" max="5" width="50" customWidth="1"/>
  </cols>
  <sheetData>
    <row r="1" spans="1:5" ht="25.5" customHeight="1" x14ac:dyDescent="0.25">
      <c r="A1" s="6" t="s">
        <v>195</v>
      </c>
      <c r="B1" s="6"/>
      <c r="C1" s="6"/>
      <c r="D1" s="6"/>
      <c r="E1" s="6"/>
    </row>
    <row r="2" spans="1:5" ht="15" customHeight="1" x14ac:dyDescent="0.25">
      <c r="A2" s="5" t="s">
        <v>196</v>
      </c>
      <c r="B2" s="5"/>
      <c r="C2" s="5"/>
      <c r="D2" s="5"/>
      <c r="E2" s="5"/>
    </row>
    <row r="4" spans="1:5" ht="15" customHeight="1" x14ac:dyDescent="0.25">
      <c r="A4" s="95" t="s">
        <v>197</v>
      </c>
      <c r="B4" s="96" t="s">
        <v>198</v>
      </c>
      <c r="C4" s="96" t="s">
        <v>199</v>
      </c>
      <c r="D4" s="96" t="s">
        <v>200</v>
      </c>
      <c r="E4" s="95" t="s">
        <v>201</v>
      </c>
    </row>
    <row r="5" spans="1:5" ht="15" customHeight="1" x14ac:dyDescent="0.25">
      <c r="A5" s="4" t="s">
        <v>202</v>
      </c>
      <c r="B5" s="4"/>
      <c r="C5" s="4"/>
      <c r="D5" s="4"/>
      <c r="E5" s="4"/>
    </row>
    <row r="6" spans="1:5" ht="15" customHeight="1" x14ac:dyDescent="0.25">
      <c r="A6" s="27" t="s">
        <v>203</v>
      </c>
      <c r="B6" s="97">
        <v>3</v>
      </c>
      <c r="C6" s="98">
        <v>0.1</v>
      </c>
      <c r="D6" s="99">
        <f>B6*C6</f>
        <v>0.30000000000000004</v>
      </c>
      <c r="E6" s="100" t="s">
        <v>204</v>
      </c>
    </row>
    <row r="7" spans="1:5" ht="15" customHeight="1" x14ac:dyDescent="0.25">
      <c r="A7" s="27" t="s">
        <v>205</v>
      </c>
      <c r="B7" s="97">
        <v>3</v>
      </c>
      <c r="C7" s="98">
        <v>0.1</v>
      </c>
      <c r="D7" s="99">
        <f>B7*C7</f>
        <v>0.30000000000000004</v>
      </c>
      <c r="E7" s="100" t="s">
        <v>206</v>
      </c>
    </row>
    <row r="8" spans="1:5" ht="15" customHeight="1" x14ac:dyDescent="0.25">
      <c r="A8" s="27" t="s">
        <v>207</v>
      </c>
      <c r="B8" s="97">
        <v>3</v>
      </c>
      <c r="C8" s="98">
        <v>0.08</v>
      </c>
      <c r="D8" s="99">
        <f>B8*C8</f>
        <v>0.24</v>
      </c>
      <c r="E8" s="100" t="s">
        <v>208</v>
      </c>
    </row>
    <row r="9" spans="1:5" ht="15" customHeight="1" x14ac:dyDescent="0.25">
      <c r="A9" s="27" t="s">
        <v>209</v>
      </c>
      <c r="B9" s="101">
        <v>2</v>
      </c>
      <c r="C9" s="98">
        <v>7.0000000000000007E-2</v>
      </c>
      <c r="D9" s="99">
        <f>B9*C9</f>
        <v>0.14000000000000001</v>
      </c>
      <c r="E9" s="100" t="s">
        <v>210</v>
      </c>
    </row>
    <row r="10" spans="1:5" ht="15" customHeight="1" x14ac:dyDescent="0.25">
      <c r="A10" s="4" t="s">
        <v>211</v>
      </c>
      <c r="B10" s="4"/>
      <c r="C10" s="4"/>
      <c r="D10" s="4"/>
      <c r="E10" s="4"/>
    </row>
    <row r="11" spans="1:5" ht="15" customHeight="1" x14ac:dyDescent="0.25">
      <c r="A11" s="27" t="s">
        <v>212</v>
      </c>
      <c r="B11" s="101">
        <v>2</v>
      </c>
      <c r="C11" s="98">
        <v>0.15</v>
      </c>
      <c r="D11" s="99">
        <f>B11*C11</f>
        <v>0.3</v>
      </c>
      <c r="E11" s="100" t="s">
        <v>261</v>
      </c>
    </row>
    <row r="12" spans="1:5" ht="15" customHeight="1" x14ac:dyDescent="0.25">
      <c r="A12" s="27" t="s">
        <v>213</v>
      </c>
      <c r="B12" s="97">
        <v>3</v>
      </c>
      <c r="C12" s="98">
        <v>0.12</v>
      </c>
      <c r="D12" s="99">
        <f>B12*C12</f>
        <v>0.36</v>
      </c>
      <c r="E12" s="100" t="s">
        <v>260</v>
      </c>
    </row>
    <row r="13" spans="1:5" ht="15" customHeight="1" x14ac:dyDescent="0.25">
      <c r="A13" s="27" t="s">
        <v>214</v>
      </c>
      <c r="B13" s="101">
        <v>2</v>
      </c>
      <c r="C13" s="98">
        <v>0.12</v>
      </c>
      <c r="D13" s="99">
        <f>B13*C13</f>
        <v>0.24</v>
      </c>
      <c r="E13" s="100" t="s">
        <v>259</v>
      </c>
    </row>
    <row r="14" spans="1:5" ht="15" customHeight="1" x14ac:dyDescent="0.25">
      <c r="A14" s="27" t="s">
        <v>215</v>
      </c>
      <c r="B14" s="97">
        <v>3</v>
      </c>
      <c r="C14" s="98">
        <v>0.08</v>
      </c>
      <c r="D14" s="99">
        <f>B14*C14</f>
        <v>0.24</v>
      </c>
      <c r="E14" s="100" t="s">
        <v>216</v>
      </c>
    </row>
    <row r="15" spans="1:5" ht="15" customHeight="1" x14ac:dyDescent="0.25">
      <c r="A15" s="4" t="s">
        <v>217</v>
      </c>
      <c r="B15" s="4"/>
      <c r="C15" s="4"/>
      <c r="D15" s="4"/>
      <c r="E15" s="4"/>
    </row>
    <row r="16" spans="1:5" ht="15" customHeight="1" x14ac:dyDescent="0.25">
      <c r="A16" s="27" t="s">
        <v>218</v>
      </c>
      <c r="B16" s="101">
        <v>1</v>
      </c>
      <c r="C16" s="98">
        <v>0.1</v>
      </c>
      <c r="D16" s="99">
        <f>B16*C16</f>
        <v>0.1</v>
      </c>
      <c r="E16" s="100" t="s">
        <v>219</v>
      </c>
    </row>
    <row r="17" spans="1:5" ht="15" customHeight="1" x14ac:dyDescent="0.25">
      <c r="A17" s="27" t="s">
        <v>220</v>
      </c>
      <c r="B17" s="97">
        <v>3</v>
      </c>
      <c r="C17" s="98">
        <v>0.08</v>
      </c>
      <c r="D17" s="99">
        <f>B17*C17</f>
        <v>0.24</v>
      </c>
      <c r="E17" s="100" t="s">
        <v>221</v>
      </c>
    </row>
    <row r="19" spans="1:5" ht="15" customHeight="1" x14ac:dyDescent="0.25">
      <c r="A19" s="4" t="s">
        <v>222</v>
      </c>
      <c r="B19" s="4"/>
      <c r="C19" s="4"/>
      <c r="D19" s="4"/>
      <c r="E19" s="4"/>
    </row>
    <row r="20" spans="1:5" ht="15" customHeight="1" x14ac:dyDescent="0.25">
      <c r="A20" s="102" t="s">
        <v>223</v>
      </c>
      <c r="D20" s="103">
        <f>SUM(D6,D7,D8,D9,D11,D12,D13,D14,D16,D17)</f>
        <v>2.46</v>
      </c>
      <c r="E20" s="7" t="s">
        <v>224</v>
      </c>
    </row>
    <row r="21" spans="1:5" ht="15" customHeight="1" x14ac:dyDescent="0.25">
      <c r="A21" s="102" t="s">
        <v>225</v>
      </c>
      <c r="B21" s="104" t="s">
        <v>11</v>
      </c>
      <c r="E21" s="7" t="s">
        <v>258</v>
      </c>
    </row>
    <row r="23" spans="1:5" ht="103.5" customHeight="1" x14ac:dyDescent="0.25">
      <c r="A23" s="65" t="s">
        <v>226</v>
      </c>
      <c r="B23" s="1" t="s">
        <v>257</v>
      </c>
      <c r="C23" s="1"/>
      <c r="D23" s="1"/>
      <c r="E23" s="1"/>
    </row>
  </sheetData>
  <mergeCells count="7">
    <mergeCell ref="A19:E19"/>
    <mergeCell ref="B23:E23"/>
    <mergeCell ref="A1:E1"/>
    <mergeCell ref="A2:E2"/>
    <mergeCell ref="A5:E5"/>
    <mergeCell ref="A10:E10"/>
    <mergeCell ref="A15:E1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0"/>
  <sheetViews>
    <sheetView showGridLines="0" zoomScaleNormal="100" workbookViewId="0">
      <pane ySplit="3" topLeftCell="A4" activePane="bottomLeft" state="frozen"/>
      <selection pane="bottomLeft" activeCell="D5" sqref="D5"/>
    </sheetView>
  </sheetViews>
  <sheetFormatPr defaultColWidth="8.7109375" defaultRowHeight="15" x14ac:dyDescent="0.25"/>
  <cols>
    <col min="1" max="1" width="26" customWidth="1"/>
    <col min="2" max="2" width="70" customWidth="1"/>
  </cols>
  <sheetData>
    <row r="1" spans="1:2" ht="25.5" customHeight="1" x14ac:dyDescent="0.25">
      <c r="A1" s="6" t="s">
        <v>227</v>
      </c>
      <c r="B1" s="6"/>
    </row>
    <row r="2" spans="1:2" ht="15" customHeight="1" x14ac:dyDescent="0.25">
      <c r="A2" s="5" t="s">
        <v>268</v>
      </c>
      <c r="B2" s="5"/>
    </row>
    <row r="4" spans="1:2" ht="15" customHeight="1" x14ac:dyDescent="0.25">
      <c r="A4" s="4" t="s">
        <v>228</v>
      </c>
      <c r="B4" s="4"/>
    </row>
    <row r="5" spans="1:2" ht="96" x14ac:dyDescent="0.25">
      <c r="A5" s="9" t="s">
        <v>229</v>
      </c>
      <c r="B5" s="74" t="s">
        <v>230</v>
      </c>
    </row>
    <row r="6" spans="1:2" ht="84" x14ac:dyDescent="0.25">
      <c r="A6" s="9" t="s">
        <v>231</v>
      </c>
      <c r="B6" s="74" t="s">
        <v>267</v>
      </c>
    </row>
    <row r="8" spans="1:2" ht="15" customHeight="1" x14ac:dyDescent="0.25">
      <c r="A8" s="4" t="s">
        <v>232</v>
      </c>
      <c r="B8" s="4"/>
    </row>
    <row r="9" spans="1:2" ht="96" x14ac:dyDescent="0.25">
      <c r="A9" s="9" t="s">
        <v>233</v>
      </c>
      <c r="B9" s="74" t="s">
        <v>266</v>
      </c>
    </row>
    <row r="10" spans="1:2" ht="96" x14ac:dyDescent="0.25">
      <c r="A10" s="9" t="s">
        <v>234</v>
      </c>
      <c r="B10" s="74" t="s">
        <v>265</v>
      </c>
    </row>
    <row r="11" spans="1:2" ht="96" x14ac:dyDescent="0.25">
      <c r="A11" s="9" t="s">
        <v>235</v>
      </c>
      <c r="B11" s="74" t="s">
        <v>264</v>
      </c>
    </row>
    <row r="13" spans="1:2" ht="15" customHeight="1" x14ac:dyDescent="0.25">
      <c r="A13" s="4" t="s">
        <v>236</v>
      </c>
      <c r="B13" s="4"/>
    </row>
    <row r="14" spans="1:2" ht="69.75" customHeight="1" x14ac:dyDescent="0.25">
      <c r="A14" s="9" t="s">
        <v>237</v>
      </c>
      <c r="B14" s="74" t="s">
        <v>263</v>
      </c>
    </row>
    <row r="15" spans="1:2" ht="69.75" customHeight="1" x14ac:dyDescent="0.25">
      <c r="A15" s="9" t="s">
        <v>238</v>
      </c>
      <c r="B15" s="74" t="s">
        <v>239</v>
      </c>
    </row>
    <row r="16" spans="1:2" ht="69.75" customHeight="1" x14ac:dyDescent="0.25">
      <c r="A16" s="9" t="s">
        <v>240</v>
      </c>
      <c r="B16" s="74" t="s">
        <v>262</v>
      </c>
    </row>
    <row r="17" spans="1:2" ht="69.75" customHeight="1" x14ac:dyDescent="0.25">
      <c r="A17" s="9" t="s">
        <v>241</v>
      </c>
      <c r="B17" s="74" t="s">
        <v>242</v>
      </c>
    </row>
    <row r="19" spans="1:2" ht="15" customHeight="1" x14ac:dyDescent="0.25">
      <c r="A19" s="4" t="s">
        <v>243</v>
      </c>
      <c r="B19" s="4"/>
    </row>
    <row r="20" spans="1:2" ht="69.75" customHeight="1" x14ac:dyDescent="0.25">
      <c r="A20" s="9" t="s">
        <v>244</v>
      </c>
      <c r="B20" s="74" t="s">
        <v>245</v>
      </c>
    </row>
  </sheetData>
  <mergeCells count="6">
    <mergeCell ref="A19:B19"/>
    <mergeCell ref="A1:B1"/>
    <mergeCell ref="A2:B2"/>
    <mergeCell ref="A4:B4"/>
    <mergeCell ref="A8:B8"/>
    <mergeCell ref="A13:B1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Financial Profile</vt:lpstr>
      <vt:lpstr>Coverage &amp; Leverage</vt:lpstr>
      <vt:lpstr>Debt Maturity Waterfall</vt:lpstr>
      <vt:lpstr>Stress Scenarios</vt:lpstr>
      <vt:lpstr>Credit Scorecard</vt:lpstr>
      <vt:lpstr>Credit Memo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Yassin Alyassin</cp:lastModifiedBy>
  <cp:revision>0</cp:revision>
  <dcterms:created xsi:type="dcterms:W3CDTF">2026-03-13T08:12:23Z</dcterms:created>
  <dcterms:modified xsi:type="dcterms:W3CDTF">2026-03-13T08:43:56Z</dcterms:modified>
  <dc:language>en-US</dc:language>
</cp:coreProperties>
</file>