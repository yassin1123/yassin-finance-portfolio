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a148474250f21e/Desktop/"/>
    </mc:Choice>
  </mc:AlternateContent>
  <xr:revisionPtr revIDLastSave="0" documentId="8_{E4148790-E703-403F-A445-234B1A51C52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Assumptions" sheetId="2" r:id="rId2"/>
    <sheet name="Income Statement" sheetId="3" r:id="rId3"/>
    <sheet name="Debt Schedule" sheetId="4" r:id="rId4"/>
    <sheet name="Cash Flow &amp; Returns" sheetId="5" r:id="rId5"/>
    <sheet name="Sensitivity" sheetId="6" r:id="rId6"/>
    <sheet name="Comparables" sheetId="7" r:id="rId7"/>
    <sheet name="Investment Memo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7" l="1"/>
  <c r="F13" i="7"/>
  <c r="G12" i="7"/>
  <c r="F12" i="7"/>
  <c r="G10" i="7"/>
  <c r="F10" i="7"/>
  <c r="G9" i="7"/>
  <c r="F9" i="7"/>
  <c r="G8" i="7"/>
  <c r="G7" i="7"/>
  <c r="F7" i="7"/>
  <c r="G6" i="7"/>
  <c r="F6" i="7"/>
  <c r="G5" i="7"/>
  <c r="F5" i="7"/>
  <c r="B30" i="5"/>
  <c r="B29" i="5"/>
  <c r="B17" i="5"/>
  <c r="B13" i="4"/>
  <c r="B6" i="4"/>
  <c r="C17" i="3"/>
  <c r="B17" i="3"/>
  <c r="C11" i="3"/>
  <c r="C12" i="3" s="1"/>
  <c r="B11" i="3"/>
  <c r="B12" i="3" s="1"/>
  <c r="C9" i="3"/>
  <c r="B9" i="3"/>
  <c r="C7" i="3"/>
  <c r="D6" i="3"/>
  <c r="B27" i="2"/>
  <c r="B11" i="2"/>
  <c r="B16" i="1"/>
  <c r="B11" i="1"/>
  <c r="B10" i="1"/>
  <c r="B9" i="1"/>
  <c r="B8" i="1"/>
  <c r="B6" i="1"/>
  <c r="B5" i="1"/>
  <c r="B16" i="4" l="1"/>
  <c r="C13" i="4" s="1"/>
  <c r="B14" i="4"/>
  <c r="B15" i="4" s="1"/>
  <c r="D16" i="3" s="1"/>
  <c r="B7" i="4"/>
  <c r="B10" i="5"/>
  <c r="B9" i="5"/>
  <c r="B28" i="4"/>
  <c r="B27" i="4"/>
  <c r="D7" i="3"/>
  <c r="E6" i="3"/>
  <c r="D10" i="3"/>
  <c r="D8" i="3"/>
  <c r="B15" i="7"/>
  <c r="B31" i="2"/>
  <c r="B14" i="2"/>
  <c r="B32" i="2" s="1"/>
  <c r="C14" i="4" l="1"/>
  <c r="B29" i="4"/>
  <c r="B11" i="5"/>
  <c r="E8" i="3"/>
  <c r="E10" i="3"/>
  <c r="C27" i="4"/>
  <c r="C28" i="4"/>
  <c r="C9" i="5"/>
  <c r="C10" i="5"/>
  <c r="E7" i="3"/>
  <c r="F6" i="3"/>
  <c r="D9" i="3"/>
  <c r="D11" i="3"/>
  <c r="B24" i="4"/>
  <c r="B6" i="5"/>
  <c r="F15" i="7"/>
  <c r="G15" i="7"/>
  <c r="B33" i="2"/>
  <c r="B26" i="2" s="1"/>
  <c r="B9" i="4"/>
  <c r="E11" i="3" l="1"/>
  <c r="C24" i="4"/>
  <c r="E9" i="3"/>
  <c r="C6" i="5"/>
  <c r="F8" i="3"/>
  <c r="F10" i="3"/>
  <c r="G6" i="3"/>
  <c r="F7" i="3"/>
  <c r="D27" i="4"/>
  <c r="D28" i="4"/>
  <c r="D9" i="5"/>
  <c r="D10" i="5"/>
  <c r="D12" i="3"/>
  <c r="B28" i="2"/>
  <c r="B7" i="1"/>
  <c r="B32" i="5"/>
  <c r="B23" i="5"/>
  <c r="B12" i="1"/>
  <c r="B20" i="4"/>
  <c r="B31" i="5" s="1"/>
  <c r="D15" i="3"/>
  <c r="D17" i="3" s="1"/>
  <c r="C15" i="4"/>
  <c r="E16" i="3" s="1"/>
  <c r="C16" i="4"/>
  <c r="D13" i="4" s="1"/>
  <c r="E12" i="3" l="1"/>
  <c r="F9" i="3"/>
  <c r="F11" i="3"/>
  <c r="D24" i="4"/>
  <c r="D6" i="5"/>
  <c r="G10" i="3"/>
  <c r="E27" i="4"/>
  <c r="E28" i="4"/>
  <c r="E9" i="5"/>
  <c r="H6" i="3"/>
  <c r="E10" i="5"/>
  <c r="G7" i="3"/>
  <c r="G8" i="3"/>
  <c r="B25" i="4"/>
  <c r="B7" i="5"/>
  <c r="D14" i="4"/>
  <c r="D18" i="3"/>
  <c r="D19" i="3" s="1"/>
  <c r="F12" i="3" l="1"/>
  <c r="H7" i="3"/>
  <c r="F10" i="5"/>
  <c r="H10" i="3"/>
  <c r="H8" i="3"/>
  <c r="F27" i="4"/>
  <c r="F28" i="4"/>
  <c r="F9" i="5"/>
  <c r="E24" i="4"/>
  <c r="G9" i="3"/>
  <c r="G11" i="3"/>
  <c r="E6" i="5"/>
  <c r="B26" i="4"/>
  <c r="B30" i="4" s="1"/>
  <c r="B31" i="4" s="1"/>
  <c r="B8" i="5"/>
  <c r="D16" i="4"/>
  <c r="E13" i="4" s="1"/>
  <c r="D15" i="4"/>
  <c r="F16" i="3" s="1"/>
  <c r="H11" i="3" l="1"/>
  <c r="F24" i="4"/>
  <c r="F6" i="5"/>
  <c r="B16" i="5"/>
  <c r="B18" i="5" s="1"/>
  <c r="H9" i="3"/>
  <c r="G12" i="3"/>
  <c r="B12" i="5"/>
  <c r="B13" i="5" s="1"/>
  <c r="B8" i="4"/>
  <c r="B10" i="4" s="1"/>
  <c r="E16" i="4"/>
  <c r="F13" i="4" s="1"/>
  <c r="E14" i="4"/>
  <c r="E15" i="4" s="1"/>
  <c r="G16" i="3" s="1"/>
  <c r="H12" i="3" l="1"/>
  <c r="B15" i="1"/>
  <c r="C6" i="4"/>
  <c r="B19" i="4"/>
  <c r="B21" i="4" s="1"/>
  <c r="F14" i="4"/>
  <c r="F15" i="4"/>
  <c r="H16" i="3" s="1"/>
  <c r="F16" i="4"/>
  <c r="C7" i="4" l="1"/>
  <c r="C29" i="4" l="1"/>
  <c r="C11" i="5"/>
  <c r="C9" i="4"/>
  <c r="C20" i="4" l="1"/>
  <c r="E15" i="3"/>
  <c r="E17" i="3" s="1"/>
  <c r="C25" i="4" l="1"/>
  <c r="C7" i="5"/>
  <c r="E18" i="3"/>
  <c r="E19" i="3" s="1"/>
  <c r="C26" i="4" l="1"/>
  <c r="C30" i="4" s="1"/>
  <c r="C31" i="4" s="1"/>
  <c r="C8" i="5"/>
  <c r="C12" i="5" l="1"/>
  <c r="C13" i="5" s="1"/>
  <c r="C8" i="4"/>
  <c r="C10" i="4" s="1"/>
  <c r="D6" i="4" l="1"/>
  <c r="C19" i="4"/>
  <c r="C21" i="4" s="1"/>
  <c r="D7" i="4" l="1"/>
  <c r="D9" i="4"/>
  <c r="D29" i="4" l="1"/>
  <c r="D11" i="5"/>
  <c r="D20" i="4"/>
  <c r="F15" i="3"/>
  <c r="F17" i="3" s="1"/>
  <c r="D25" i="4" l="1"/>
  <c r="D7" i="5"/>
  <c r="F18" i="3"/>
  <c r="F19" i="3" s="1"/>
  <c r="D26" i="4" l="1"/>
  <c r="D30" i="4" s="1"/>
  <c r="D31" i="4" s="1"/>
  <c r="D8" i="5"/>
  <c r="D12" i="5" l="1"/>
  <c r="D13" i="5" s="1"/>
  <c r="D8" i="4"/>
  <c r="D10" i="4" s="1"/>
  <c r="E6" i="4" l="1"/>
  <c r="D19" i="4"/>
  <c r="D21" i="4" s="1"/>
  <c r="E7" i="4" l="1"/>
  <c r="E9" i="4"/>
  <c r="E29" i="4" l="1"/>
  <c r="E11" i="5"/>
  <c r="G15" i="3"/>
  <c r="G17" i="3" s="1"/>
  <c r="E20" i="4"/>
  <c r="G18" i="3" l="1"/>
  <c r="G19" i="3" s="1"/>
  <c r="E25" i="4"/>
  <c r="E7" i="5"/>
  <c r="E8" i="5" l="1"/>
  <c r="E26" i="4"/>
  <c r="E30" i="4" s="1"/>
  <c r="E31" i="4" s="1"/>
  <c r="E12" i="5" s="1"/>
  <c r="E13" i="5" s="1"/>
  <c r="E8" i="4"/>
  <c r="E10" i="4" s="1"/>
  <c r="E19" i="4" l="1"/>
  <c r="E21" i="4" s="1"/>
  <c r="F6" i="4"/>
  <c r="F7" i="4" l="1"/>
  <c r="F9" i="4"/>
  <c r="F29" i="4" l="1"/>
  <c r="F11" i="5"/>
  <c r="F20" i="4"/>
  <c r="H15" i="3"/>
  <c r="H17" i="3" s="1"/>
  <c r="F25" i="4" l="1"/>
  <c r="F7" i="5"/>
  <c r="H18" i="3"/>
  <c r="H19" i="3" s="1"/>
  <c r="F8" i="5" l="1"/>
  <c r="F26" i="4"/>
  <c r="F30" i="4" s="1"/>
  <c r="F31" i="4" s="1"/>
  <c r="F12" i="5" l="1"/>
  <c r="F13" i="5" s="1"/>
  <c r="F8" i="4"/>
  <c r="F10" i="4" s="1"/>
  <c r="F19" i="4" s="1"/>
  <c r="B19" i="5" l="1"/>
  <c r="B20" i="5" s="1"/>
  <c r="B17" i="1"/>
  <c r="F21" i="4"/>
  <c r="B18" i="1" l="1"/>
  <c r="B24" i="5"/>
  <c r="B25" i="5" l="1"/>
  <c r="B20" i="1" s="1"/>
  <c r="B26" i="5"/>
  <c r="B21" i="1" s="1"/>
  <c r="B19" i="1"/>
</calcChain>
</file>

<file path=xl/sharedStrings.xml><?xml version="1.0" encoding="utf-8"?>
<sst xmlns="http://schemas.openxmlformats.org/spreadsheetml/2006/main" count="323" uniqueCount="278">
  <si>
    <t>PETS AT HOME LBO — DEAL DASHBOARD</t>
  </si>
  <si>
    <t>TRANSACTION SUMMARY</t>
  </si>
  <si>
    <t>Entry EV (£m)</t>
  </si>
  <si>
    <t>Entry EV / EBITDA</t>
  </si>
  <si>
    <t>Sponsor Equity (£m)</t>
  </si>
  <si>
    <t>TLA (£m)</t>
  </si>
  <si>
    <t>TLB (£m)</t>
  </si>
  <si>
    <t>Total Debt at Entry (£m)</t>
  </si>
  <si>
    <t>Debt / EBITDA at Entry</t>
  </si>
  <si>
    <t>Equity %</t>
  </si>
  <si>
    <t>RETURNS SUMMARY</t>
  </si>
  <si>
    <t>Exit Enterprise Value (£m)</t>
  </si>
  <si>
    <t>Exit EV / EBITDA (x)</t>
  </si>
  <si>
    <t>Net Debt at Exit (£m)</t>
  </si>
  <si>
    <t>Exit Equity Value (£m)</t>
  </si>
  <si>
    <t>Sponsor Proceeds (£m)</t>
  </si>
  <si>
    <t>MoM Multiple</t>
  </si>
  <si>
    <t>IRR (5yr hold)</t>
  </si>
  <si>
    <t>NAVIGATION</t>
  </si>
  <si>
    <t>Assumptions</t>
  </si>
  <si>
    <t>Transaction, S&amp;U, debt &amp; operating assumptions</t>
  </si>
  <si>
    <t>Income Statement</t>
  </si>
  <si>
    <t>P&amp;L projection FY2024A–FY2030E</t>
  </si>
  <si>
    <t>Debt Schedule</t>
  </si>
  <si>
    <t>TLA/TLB amortisation + cash sweep</t>
  </si>
  <si>
    <t>Cash Flow &amp; Returns</t>
  </si>
  <si>
    <t>FCFE, exit analysis, IRR &amp; MoM</t>
  </si>
  <si>
    <t>Sensitivity</t>
  </si>
  <si>
    <t>IRR &amp; MoM across entry/exit multiples</t>
  </si>
  <si>
    <t>Comparables</t>
  </si>
  <si>
    <t>UK pet care &amp; specialist retail comps</t>
  </si>
  <si>
    <t>Investment Memo</t>
  </si>
  <si>
    <t>Full deal memo with thesis, risks, valuation</t>
  </si>
  <si>
    <t>PETS AT HOME GROUP PLC — LBO MODEL ASSUMPTIONS</t>
  </si>
  <si>
    <t>Blue = input | Black = formula | Green = cross-sheet | Source: Pets at Home Annual Reports FY2024–FY2025</t>
  </si>
  <si>
    <t>Blue = Hardcoded input</t>
  </si>
  <si>
    <t>Black = Formula</t>
  </si>
  <si>
    <t>Green = Cross-sheet</t>
  </si>
  <si>
    <t>TRANSACTION ASSUMPTIONS</t>
  </si>
  <si>
    <t xml:space="preserve">  Entry EV / EBITDA (x)</t>
  </si>
  <si>
    <t>Source: UK pet care M&amp;A comps; THL/Pets@Home precedent</t>
  </si>
  <si>
    <t xml:space="preserve">  LTM EBITDA at Entry (£m)</t>
  </si>
  <si>
    <t>FY2025A EBITDA; Source: Pets at Home FY25 Annual Report</t>
  </si>
  <si>
    <t xml:space="preserve">  Entry Enterprise Value (£m)</t>
  </si>
  <si>
    <t xml:space="preserve"> Entry EV/EBITDA x LTM EBITDA</t>
  </si>
  <si>
    <t xml:space="preserve">  Entry Equity Value (£m)</t>
  </si>
  <si>
    <t xml:space="preserve"> EV minus Total Debt at Entry</t>
  </si>
  <si>
    <t xml:space="preserve">  Transaction Fees % EV</t>
  </si>
  <si>
    <t>M&amp;A advisory, legal, financing fees</t>
  </si>
  <si>
    <t xml:space="preserve">  Transaction Fees (£m)</t>
  </si>
  <si>
    <t xml:space="preserve"> Entry EV x fees pct</t>
  </si>
  <si>
    <t xml:space="preserve">  Total Sources = Uses (£m)</t>
  </si>
  <si>
    <t>Verification check</t>
  </si>
  <si>
    <t xml:space="preserve">  Exit Year (from entry)</t>
  </si>
  <si>
    <t>Standard PE hold period</t>
  </si>
  <si>
    <t xml:space="preserve">  Exit EV / EBITDA (x)</t>
  </si>
  <si>
    <t>Modest multiple expansion on execution</t>
  </si>
  <si>
    <t xml:space="preserve">  Management Rollover (£m)</t>
  </si>
  <si>
    <t>Mgmt equity retained</t>
  </si>
  <si>
    <t>SOURCES &amp; USES (£m)</t>
  </si>
  <si>
    <t>SOURCES</t>
  </si>
  <si>
    <t xml:space="preserve">  Senior Secured (Term Loan A)</t>
  </si>
  <si>
    <t>~2.7x EBITDA; floating rate SONIA+400bps</t>
  </si>
  <si>
    <t xml:space="preserve">  Senior Secured (Term Loan B)</t>
  </si>
  <si>
    <t>~1.8x EBITDA; SONIA+500bps; PIK toggle</t>
  </si>
  <si>
    <t xml:space="preserve">  Revolving Credit Facility</t>
  </si>
  <si>
    <t>£150m RCF, undrawn at close</t>
  </si>
  <si>
    <t xml:space="preserve">  Sponsor Equity</t>
  </si>
  <si>
    <t>Residual = EV + fees − debt</t>
  </si>
  <si>
    <t xml:space="preserve">  Management Rollover</t>
  </si>
  <si>
    <t>Linked from above</t>
  </si>
  <si>
    <t>Total Sources</t>
  </si>
  <si>
    <t>USES</t>
  </si>
  <si>
    <t xml:space="preserve">  Purchase of Equity (EV)</t>
  </si>
  <si>
    <t xml:space="preserve"> Entry Enterprise Value</t>
  </si>
  <si>
    <t xml:space="preserve">  Transaction Fees</t>
  </si>
  <si>
    <t xml:space="preserve"> Fees from above</t>
  </si>
  <si>
    <t>Total Uses</t>
  </si>
  <si>
    <t>Must equal Total Sources</t>
  </si>
  <si>
    <t>DEBT ASSUMPTIONS</t>
  </si>
  <si>
    <t xml:space="preserve">  TLA Opening Balance (£m)</t>
  </si>
  <si>
    <t>At close; ~2.7x EBITDA</t>
  </si>
  <si>
    <t xml:space="preserve">  TLA Interest Rate (SONIA+spread)</t>
  </si>
  <si>
    <t>SONIA 5.2% + 400bps margin</t>
  </si>
  <si>
    <t xml:space="preserve">  TLA Annual Amortisation %</t>
  </si>
  <si>
    <t>10% annual mandatory amortisation</t>
  </si>
  <si>
    <t xml:space="preserve">  TLB Opening Balance (£m)</t>
  </si>
  <si>
    <t>At close; ~1.8x EBITDA</t>
  </si>
  <si>
    <t xml:space="preserve">  TLB Interest Rate</t>
  </si>
  <si>
    <t>SONIA 5.2% + 500bps margin</t>
  </si>
  <si>
    <t xml:space="preserve">  TLB Annual Amortisation %</t>
  </si>
  <si>
    <t>1% p.a. (bullet at exit)</t>
  </si>
  <si>
    <t xml:space="preserve">  Cash Sweep % of Excess Cash</t>
  </si>
  <si>
    <t>50% cash sweep applied to TLA first</t>
  </si>
  <si>
    <t xml:space="preserve">  Minimum Cash Balance (£m)</t>
  </si>
  <si>
    <t>Operational minimum</t>
  </si>
  <si>
    <t>OPERATING ASSUMPTIONS</t>
  </si>
  <si>
    <t xml:space="preserve">  Revenue FY2025A (£m)</t>
  </si>
  <si>
    <t>Source: Pets at Home FY25 Annual Report, p.4</t>
  </si>
  <si>
    <t xml:space="preserve">  Revenue Growth FY2026E</t>
  </si>
  <si>
    <t>Store rollout + vet practice maturation</t>
  </si>
  <si>
    <t xml:space="preserve">  Revenue Growth FY2027E</t>
  </si>
  <si>
    <t xml:space="preserve">  Revenue Growth FY2028E</t>
  </si>
  <si>
    <t xml:space="preserve">  Revenue Growth FY2029E</t>
  </si>
  <si>
    <t xml:space="preserve">  Revenue Growth FY2030E</t>
  </si>
  <si>
    <t>Steady-state</t>
  </si>
  <si>
    <t xml:space="preserve">  EBITDA Margin FY2025A</t>
  </si>
  <si>
    <t>£252m / £1,674m; Source: FY25 Annual Report</t>
  </si>
  <si>
    <t xml:space="preserve">  EBITDA Margin FY2026E</t>
  </si>
  <si>
    <t>Modest expansion on operational leverage</t>
  </si>
  <si>
    <t xml:space="preserve">  EBITDA Margin FY2027E</t>
  </si>
  <si>
    <t xml:space="preserve">  EBITDA Margin FY2028E</t>
  </si>
  <si>
    <t xml:space="preserve">  EBITDA Margin FY2029E</t>
  </si>
  <si>
    <t xml:space="preserve">  EBITDA Margin FY2030E</t>
  </si>
  <si>
    <t>Vet practices reach maturity; full margin benefit</t>
  </si>
  <si>
    <t xml:space="preserve">  D&amp;A % Revenue</t>
  </si>
  <si>
    <t>FY25: ~£64m / £1,674m</t>
  </si>
  <si>
    <t xml:space="preserve">  Capex % Revenue</t>
  </si>
  <si>
    <t>FY25: ~£70m; new stores + refurb</t>
  </si>
  <si>
    <t xml:space="preserve">  Change in NWC % Revenue</t>
  </si>
  <si>
    <t>Slight working capital build</t>
  </si>
  <si>
    <t xml:space="preserve">  Tax Rate</t>
  </si>
  <si>
    <t>UK corporation tax 25%</t>
  </si>
  <si>
    <t>PETS AT HOME GROUP PLC — INCOME STATEMENT (£m)</t>
  </si>
  <si>
    <t>Gray = Historical | Blue = Forecast | Source: Pets at Home Annual Reports</t>
  </si>
  <si>
    <t>FY2024A</t>
  </si>
  <si>
    <t>FY2025A</t>
  </si>
  <si>
    <t>FY2026E</t>
  </si>
  <si>
    <t>FY2027E</t>
  </si>
  <si>
    <t>FY2028E</t>
  </si>
  <si>
    <t>FY2029E</t>
  </si>
  <si>
    <t>FY2030E</t>
  </si>
  <si>
    <t>P&amp;L</t>
  </si>
  <si>
    <t>Revenue</t>
  </si>
  <si>
    <t xml:space="preserve">    YoY Growth</t>
  </si>
  <si>
    <t>—</t>
  </si>
  <si>
    <t>EBITDA</t>
  </si>
  <si>
    <t xml:space="preserve">    EBITDA Margin</t>
  </si>
  <si>
    <t xml:space="preserve">    Depreciation &amp; Amortisation</t>
  </si>
  <si>
    <t>EBIT</t>
  </si>
  <si>
    <t xml:space="preserve">    EBIT Margin</t>
  </si>
  <si>
    <t>BELOW THE LINE</t>
  </si>
  <si>
    <t xml:space="preserve">    Interest Expense (TLA)</t>
  </si>
  <si>
    <t xml:space="preserve">    Interest Expense (TLB)</t>
  </si>
  <si>
    <t>Total Interest Expense</t>
  </si>
  <si>
    <t xml:space="preserve">  Tax</t>
  </si>
  <si>
    <t>Net Income / (Loss)</t>
  </si>
  <si>
    <t>DEBT SCHEDULE &amp; CASH SWEEP (£m)</t>
  </si>
  <si>
    <t>Mandatory amortisation + 50% excess cash sweep | Interest on average balances</t>
  </si>
  <si>
    <t>TERM LOAN A</t>
  </si>
  <si>
    <t xml:space="preserve">  Opening Balance (£m)</t>
  </si>
  <si>
    <t xml:space="preserve">  Mandatory Amortisation (£m)</t>
  </si>
  <si>
    <t xml:space="preserve">  Cash Sweep (£m)</t>
  </si>
  <si>
    <t>Interest Expense (£m)</t>
  </si>
  <si>
    <t>Closing Balance (£m)</t>
  </si>
  <si>
    <t>TERM LOAN B</t>
  </si>
  <si>
    <t>TOTAL DEBT SUMMARY</t>
  </si>
  <si>
    <t>Total Debt Closing (£m)</t>
  </si>
  <si>
    <t>Total Interest Expense (£m)</t>
  </si>
  <si>
    <t>Net Debt / EBITDA (x)</t>
  </si>
  <si>
    <t>CASH SWEEP CALCULATION</t>
  </si>
  <si>
    <t xml:space="preserve">  EBITDA (£m)</t>
  </si>
  <si>
    <t xml:space="preserve">  Less: Cash Interest (£m)</t>
  </si>
  <si>
    <t xml:space="preserve">  Less: Tax (£m)</t>
  </si>
  <si>
    <t xml:space="preserve">  Less: Capex (£m)</t>
  </si>
  <si>
    <t xml:space="preserve">  Less: Change in NWC (£m)</t>
  </si>
  <si>
    <t xml:space="preserve">  Less: Mandatory Amortisation (£m)</t>
  </si>
  <si>
    <t>Excess Cash Available for Sweep (£m)</t>
  </si>
  <si>
    <t>Cash Sweep Applied to TLA (£m)</t>
  </si>
  <si>
    <t>CASH FLOW, EXIT &amp; RETURNS ANALYSIS (£m)</t>
  </si>
  <si>
    <t>Free Cash Flow to Equity | Exit at Year 5 | IRR &amp; MoM returns</t>
  </si>
  <si>
    <t>FREE CASH FLOW TO EQUITY</t>
  </si>
  <si>
    <t>EBITDA (£m)</t>
  </si>
  <si>
    <t xml:space="preserve">    Less: Cash Interest</t>
  </si>
  <si>
    <t xml:space="preserve">    Less: Tax</t>
  </si>
  <si>
    <t xml:space="preserve">    Less: Capex</t>
  </si>
  <si>
    <t xml:space="preserve">    Less: Change in NWC</t>
  </si>
  <si>
    <t xml:space="preserve">    Less: Mandatory Debt Amortisation</t>
  </si>
  <si>
    <t xml:space="preserve">    Less: Cash Sweep</t>
  </si>
  <si>
    <t>Free Cash Flow to Equity (£m)</t>
  </si>
  <si>
    <t>EXIT ANALYSIS</t>
  </si>
  <si>
    <t>Exit Year EBITDA (£m)</t>
  </si>
  <si>
    <t>Exit EV / EBITDA Multiple (x)</t>
  </si>
  <si>
    <t>Less: Net Debt at Exit (£m)</t>
  </si>
  <si>
    <t>SPONSOR RETURNS</t>
  </si>
  <si>
    <t>Sponsor Equity Invested (£m)</t>
  </si>
  <si>
    <t>Sponsor Exit Proceeds (£m)</t>
  </si>
  <si>
    <t>Money-on-Money Multiple (MoM)</t>
  </si>
  <si>
    <t>IRR (Approximate — 5yr hold)</t>
  </si>
  <si>
    <t>CREDIT METRICS AT ENTRY</t>
  </si>
  <si>
    <t>Total Debt / EBITDA (Entry)</t>
  </si>
  <si>
    <t>Senior Debt / EBITDA (TLA only)</t>
  </si>
  <si>
    <t>Interest Coverage (EBITDA / Interest, Yr1)</t>
  </si>
  <si>
    <t>Equity % of Total Capitalisation</t>
  </si>
  <si>
    <t>SENSITIVITY — IRR &amp; MoM vs ENTRY MULTIPLE &amp; EXIT MULTIPLE</t>
  </si>
  <si>
    <t>Green = IRR &gt;20% | Amber = 15–20% | Red = &lt;15% | Base case (7.5x entry, 8.0x exit) highlighted</t>
  </si>
  <si>
    <t>IRR — Entry x \ Exit x</t>
  </si>
  <si>
    <t>6.5x</t>
  </si>
  <si>
    <t>7.0x</t>
  </si>
  <si>
    <t>7.5x</t>
  </si>
  <si>
    <t>8.0x</t>
  </si>
  <si>
    <t>8.5x</t>
  </si>
  <si>
    <t>9.0x</t>
  </si>
  <si>
    <t>9.5x</t>
  </si>
  <si>
    <t>6.0x</t>
  </si>
  <si>
    <t>MoM — Entry x \ Exit x</t>
  </si>
  <si>
    <t>Green = IRR &gt;20% / MoM &gt;2.5x | Gray = 15–20% / 2.0–2.5x | Red = &lt;15% / &lt;2.0x | Amber = base case</t>
  </si>
  <si>
    <t>COMPARABLE COMPANY ANALYSIS — UK PET CARE &amp; SPECIALIST RETAIL</t>
  </si>
  <si>
    <t>Company</t>
  </si>
  <si>
    <t>EV (£m)</t>
  </si>
  <si>
    <t>Rev (£m)</t>
  </si>
  <si>
    <t>EBIT Mg</t>
  </si>
  <si>
    <t>EV/Rev</t>
  </si>
  <si>
    <t>EV/EBITDA</t>
  </si>
  <si>
    <t>Note</t>
  </si>
  <si>
    <t>Pets at Home (current)</t>
  </si>
  <si>
    <t>LSE:PETS; FY25A actuals</t>
  </si>
  <si>
    <t>Chewy Inc (US)</t>
  </si>
  <si>
    <t>CHWY; US pure-play online; lower margins</t>
  </si>
  <si>
    <t>Zooplus AG (Germany)</t>
  </si>
  <si>
    <t>Acquired by Hellman &amp; Friedman 2022</t>
  </si>
  <si>
    <t>PetSmart (US, PE-owned)</t>
  </si>
  <si>
    <t>Private</t>
  </si>
  <si>
    <t>n/m</t>
  </si>
  <si>
    <t>Private; 2015 BC Partners LBO; ~7x entry</t>
  </si>
  <si>
    <t>Greggs plc</t>
  </si>
  <si>
    <t>UK specialist food retail; margin comp</t>
  </si>
  <si>
    <t>Next plc</t>
  </si>
  <si>
    <t>Premium UK retail; operational excellence</t>
  </si>
  <si>
    <t>Peer Median</t>
  </si>
  <si>
    <t>Peer Mean</t>
  </si>
  <si>
    <t>Pets at Home (LBO Entry)</t>
  </si>
  <si>
    <t>At 7.5x EV/EBITDA entry multiple</t>
  </si>
  <si>
    <t>Note: EV and estimates from Yahoo Finance / public filings. Private company estimates from press reports. All £m.</t>
  </si>
  <si>
    <t>INVESTMENT MEMO — PETS AT HOME GROUP PLC (LSE: PETS)</t>
  </si>
  <si>
    <t>EXECUTIVE SUMMARY</t>
  </si>
  <si>
    <t>Situation</t>
  </si>
  <si>
    <t>Pets at Home is the UK's leading pet care specialist, operating 450+ stores and a rapidly scaling Joint Venture veterinary practice network across the UK. The company is FTSE 250-listed with a market cap of ~£1.8bn. This memo analyses a hypothetical take-private LBO at a 7.5x EV/EBITDA entry multiple, implying an enterprise value of ~£1,890m.</t>
  </si>
  <si>
    <t>Investment Return</t>
  </si>
  <si>
    <t>Base case analysis implies a 5-year IRR of ~20-22% and MoM of ~2.5-2.8x on a £459m sponsor equity cheque, driven by EBITDA growth, debt paydown via cash sweep, and modest multiple expansion from 7.5x to 8.0x at exit.</t>
  </si>
  <si>
    <t>COMPANY OVERVIEW</t>
  </si>
  <si>
    <t>Business Model</t>
  </si>
  <si>
    <t>Financials</t>
  </si>
  <si>
    <t>FY2025A: Revenue £1,674m (+4.7% YoY), EBITDA £252m (15.1% margin), Net Income £147m. Net cash position (pre-LBO). Capex ~£70m (4.2% of revenue) driven by new store rollout and vet practice fit-outs. Strong FCF conversion; EBITDA - Capex / EBITDA ~72%.</t>
  </si>
  <si>
    <t>LBO INVESTMENT THESIS</t>
  </si>
  <si>
    <t>1. Defensive Cash Flows</t>
  </si>
  <si>
    <t>2. Vet Network Maturation</t>
  </si>
  <si>
    <t>3. Loyalty &amp; Data Moat</t>
  </si>
  <si>
    <t>8m+ VIP loyalty members represent a significant CRM and data asset. Subscription revenue streams (Puppy &amp; Kitten Club) drive repeat purchases and reduce churn. Hard to replicate by pure-play e-commerce competitors.</t>
  </si>
  <si>
    <t>4. Debt Paydown</t>
  </si>
  <si>
    <t>5. Exit Optionality</t>
  </si>
  <si>
    <t>Multiple exit routes: re-IPO (Pets@Home has been public before and has investor familiarity), trade sale to US strategic (Chewy, PetSmart), or secondary PE buyout. Public market re-rating on vet practice profitability is a realistic catalyst.</t>
  </si>
  <si>
    <t>KEY RISKS</t>
  </si>
  <si>
    <t>Leverage Risk</t>
  </si>
  <si>
    <t>Vet JV Execution</t>
  </si>
  <si>
    <t>JV vet model depends on self-employed vets choosing Pets at Home. Attrition or competition from CVS Group / IVC Evidensia for veterinary talent could slow practice revenue growth.</t>
  </si>
  <si>
    <t>E-commerce Competition</t>
  </si>
  <si>
    <t>Zooplus, Chewy (US) and Amazon continue to pressure retail margins on consumables. Pets at Home's in-store experience, grooming, and vet services are partially defensive but not immune.</t>
  </si>
  <si>
    <t>Regulatory / Macro</t>
  </si>
  <si>
    <t>Rising National Living Wage increases staff costs (~15% of revenue). Any change to veterinary regulation or JV structure could impair the vet segment valuation.</t>
  </si>
  <si>
    <t>VALUATION</t>
  </si>
  <si>
    <t>Entry</t>
  </si>
  <si>
    <t>7.5x LTM EBITDA (£252m) = £1,890m EV. In line with UK specialist retail LBO precedents. Represents a ~2% premium to current market EV of ~£1,850m (take-private premium).</t>
  </si>
  <si>
    <t>Exit</t>
  </si>
  <si>
    <t>8.0x exit EV/EBITDA applied to FY2030E EBITDA. Conservative vs. peer median. If vet practices are separately valued at a healthcare multiple (~12-15x), blended exit multiple could be higher.</t>
  </si>
  <si>
    <t>Returns</t>
  </si>
  <si>
    <t>DATA SOURCES</t>
  </si>
  <si>
    <t>Sources</t>
  </si>
  <si>
    <t>Pets at Home FY2024 &amp; FY2025 Annual Reports | LSE RNS announcements | Yahoo Finance (share price, peer data) | Hellman &amp; Friedman / Zooplus deal press releases | CVS Group / IVC Evidensia investor materials | UK Petfood Manufacturers Association market data</t>
  </si>
  <si>
    <t>All outputs linked live from model | Analyst: Yassin Al-Yassin | Dec 2026</t>
  </si>
  <si>
    <t>Pets at Home operates across three segments: (1) Retail, UK's largest pet supplies retailer by market share; (2) Vet Group, 450+ Joint Venture veterinary practices operated with self-employed vets; (3) Subscription Services, Puppy &amp; Kitten Club and VIP loyalty programme with 8m+ members. The vet JV model is capital-light and creates a recurring revenue flywheel.</t>
  </si>
  <si>
    <t>Pet care is a counter-cyclical category, UK pet ownership rose 12% during 2020-22 and ownership rates remain elevated. Recurring spend on food, medication, and vet services provides visibility. Pets at Home has not reported a revenue decline in 10+ years.</t>
  </si>
  <si>
    <t>The JV vet practices are in early maturity, 450+ sites, growing EBITDA contribution, and high customer lifetime value. As practices mature, margins expand without incremental capex. This is the core value creation driver.</t>
  </si>
  <si>
    <t>The business generates ~£180m+ annual FCF at entry. At 50% cash sweep, ~£90m+ per year is applied to TLA amortisation. This rapidly deleverages the capital structure, estimated from ~3.7x to &lt;2.0x Net Debt / EBITDA by Year 5.</t>
  </si>
  <si>
    <t>Entry leverage of 3.7x Debt/EBITDA (blended) is moderate for a defensive business but leaves limited headroom for an EBITDA miss. A 10% EBITDA decline would push leverage toward 4.1x, still serviceable but covenant pressure likely.</t>
  </si>
  <si>
    <t>Base case: ~20-22% IRR, ~2.5-2.8x MoM on 5yr hold. Sensitivity analysis shows IRR remains &gt;15% across a wide range of entry/exit multiples (see Sensitivity tab).</t>
  </si>
  <si>
    <t>Prepared by: Yassin Al-Yassin | Dec 2025 | LBO Analysis | Sponsor: Hypothetical PE Fund</t>
  </si>
  <si>
    <t>Source: Yahoo Finance / public filings, Dec 2026 | EV/EBITDA on NTM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</si>
</sst>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\x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8"/>
      <color rgb="FF808080"/>
      <name val="Arial"/>
      <charset val="1"/>
    </font>
    <font>
      <b/>
      <sz val="9"/>
      <color rgb="FFFFFFFF"/>
      <name val="Arial"/>
      <charset val="1"/>
    </font>
    <font>
      <b/>
      <sz val="9"/>
      <color rgb="FF1F3C6B"/>
      <name val="Arial"/>
      <charset val="1"/>
    </font>
    <font>
      <b/>
      <sz val="9"/>
      <color rgb="FF008000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008000"/>
      <name val="Arial"/>
      <charset val="1"/>
    </font>
    <font>
      <sz val="9"/>
      <color rgb="FF40404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9"/>
      <color rgb="FF008000"/>
      <name val="Arial"/>
      <charset val="1"/>
    </font>
    <font>
      <b/>
      <sz val="9"/>
      <color rgb="FF404040"/>
      <name val="Arial"/>
      <charset val="1"/>
    </font>
    <font>
      <b/>
      <sz val="9"/>
      <color rgb="FF000000"/>
      <name val="Arial"/>
      <charset val="1"/>
    </font>
    <font>
      <i/>
      <sz val="9"/>
      <color rgb="FF404040"/>
      <name val="Arial"/>
      <charset val="1"/>
    </font>
    <font>
      <sz val="8"/>
      <color rgb="FF808080"/>
      <name val="Arial"/>
      <charset val="1"/>
    </font>
    <font>
      <sz val="9"/>
      <color rgb="FF808080"/>
      <name val="Arial"/>
      <charset val="1"/>
    </font>
    <font>
      <sz val="9"/>
      <color rgb="FFFF0000"/>
      <name val="Arial"/>
      <charset val="1"/>
    </font>
    <font>
      <i/>
      <sz val="9"/>
      <color rgb="FF80808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C6B"/>
        <bgColor rgb="FF333399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B4C7E7"/>
        <bgColor rgb="FF99CCFF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F2F2F2"/>
      </patternFill>
    </fill>
    <fill>
      <patternFill patternType="solid">
        <fgColor rgb="FFFFE0E0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165" fontId="10" fillId="4" borderId="0" xfId="0" applyNumberFormat="1" applyFont="1" applyFill="1" applyAlignment="1">
      <alignment horizontal="right" vertical="center"/>
    </xf>
    <xf numFmtId="164" fontId="10" fillId="4" borderId="0" xfId="0" applyNumberFormat="1" applyFont="1" applyFill="1" applyAlignment="1">
      <alignment horizontal="right" vertical="center"/>
    </xf>
    <xf numFmtId="164" fontId="11" fillId="0" borderId="0" xfId="0" applyNumberFormat="1" applyFont="1" applyAlignment="1">
      <alignment horizontal="right"/>
    </xf>
    <xf numFmtId="166" fontId="10" fillId="4" borderId="0" xfId="0" applyNumberFormat="1" applyFont="1" applyFill="1" applyAlignment="1">
      <alignment horizontal="right" vertical="center"/>
    </xf>
    <xf numFmtId="1" fontId="10" fillId="4" borderId="0" xfId="0" applyNumberFormat="1" applyFont="1" applyFill="1" applyAlignment="1">
      <alignment horizontal="right" vertical="center"/>
    </xf>
    <xf numFmtId="164" fontId="10" fillId="4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3" fillId="4" borderId="0" xfId="0" applyFont="1" applyFill="1" applyAlignment="1">
      <alignment horizontal="left" vertical="center"/>
    </xf>
    <xf numFmtId="164" fontId="14" fillId="3" borderId="0" xfId="0" applyNumberFormat="1" applyFont="1" applyFill="1" applyAlignment="1">
      <alignment horizontal="right"/>
    </xf>
    <xf numFmtId="0" fontId="11" fillId="0" borderId="0" xfId="0" applyFont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right" vertical="center"/>
    </xf>
    <xf numFmtId="164" fontId="14" fillId="6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left" vertical="center"/>
    </xf>
    <xf numFmtId="0" fontId="16" fillId="0" borderId="0" xfId="0" applyFont="1" applyAlignment="1">
      <alignment horizontal="right" vertical="center"/>
    </xf>
    <xf numFmtId="166" fontId="17" fillId="5" borderId="0" xfId="0" applyNumberFormat="1" applyFont="1" applyFill="1" applyAlignment="1">
      <alignment horizontal="right" vertical="center"/>
    </xf>
    <xf numFmtId="166" fontId="17" fillId="6" borderId="0" xfId="0" applyNumberFormat="1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11" fillId="6" borderId="0" xfId="0" applyNumberFormat="1" applyFont="1" applyFill="1" applyAlignment="1">
      <alignment horizontal="right" vertical="center"/>
    </xf>
    <xf numFmtId="164" fontId="14" fillId="5" borderId="0" xfId="0" applyNumberFormat="1" applyFont="1" applyFill="1" applyAlignment="1">
      <alignment horizontal="right" vertical="center"/>
    </xf>
    <xf numFmtId="164" fontId="14" fillId="3" borderId="0" xfId="0" applyNumberFormat="1" applyFont="1" applyFill="1" applyAlignment="1">
      <alignment horizontal="right" vertical="center"/>
    </xf>
    <xf numFmtId="164" fontId="12" fillId="6" borderId="0" xfId="0" applyNumberFormat="1" applyFont="1" applyFill="1" applyAlignment="1">
      <alignment horizontal="right"/>
    </xf>
    <xf numFmtId="164" fontId="11" fillId="6" borderId="0" xfId="0" applyNumberFormat="1" applyFont="1" applyFill="1" applyAlignment="1">
      <alignment horizontal="right"/>
    </xf>
    <xf numFmtId="164" fontId="12" fillId="6" borderId="0" xfId="0" applyNumberFormat="1" applyFont="1" applyFill="1" applyAlignment="1">
      <alignment horizontal="right" vertical="center"/>
    </xf>
    <xf numFmtId="164" fontId="14" fillId="7" borderId="0" xfId="0" applyNumberFormat="1" applyFont="1" applyFill="1" applyAlignment="1">
      <alignment horizontal="right" vertical="center"/>
    </xf>
    <xf numFmtId="165" fontId="17" fillId="6" borderId="0" xfId="0" applyNumberFormat="1" applyFont="1" applyFill="1" applyAlignment="1">
      <alignment horizontal="right" vertical="center"/>
    </xf>
    <xf numFmtId="164" fontId="14" fillId="8" borderId="0" xfId="0" applyNumberFormat="1" applyFont="1" applyFill="1" applyAlignment="1">
      <alignment horizontal="right" vertical="center"/>
    </xf>
    <xf numFmtId="165" fontId="12" fillId="4" borderId="0" xfId="0" applyNumberFormat="1" applyFont="1" applyFill="1" applyAlignment="1">
      <alignment horizontal="right" vertical="center"/>
    </xf>
    <xf numFmtId="164" fontId="12" fillId="4" borderId="0" xfId="0" applyNumberFormat="1" applyFont="1" applyFill="1" applyAlignment="1">
      <alignment horizontal="right" vertical="center"/>
    </xf>
    <xf numFmtId="164" fontId="14" fillId="4" borderId="0" xfId="0" applyNumberFormat="1" applyFont="1" applyFill="1" applyAlignment="1">
      <alignment horizontal="right" vertical="center"/>
    </xf>
    <xf numFmtId="165" fontId="14" fillId="3" borderId="0" xfId="0" applyNumberFormat="1" applyFont="1" applyFill="1" applyAlignment="1">
      <alignment horizontal="right" vertical="center"/>
    </xf>
    <xf numFmtId="166" fontId="14" fillId="7" borderId="0" xfId="0" applyNumberFormat="1" applyFont="1" applyFill="1" applyAlignment="1">
      <alignment horizontal="right" vertical="center"/>
    </xf>
    <xf numFmtId="165" fontId="17" fillId="4" borderId="0" xfId="0" applyNumberFormat="1" applyFont="1" applyFill="1" applyAlignment="1">
      <alignment horizontal="right" vertical="center"/>
    </xf>
    <xf numFmtId="166" fontId="17" fillId="4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6" fontId="12" fillId="9" borderId="0" xfId="0" applyNumberFormat="1" applyFont="1" applyFill="1" applyAlignment="1">
      <alignment horizontal="center" vertical="center"/>
    </xf>
    <xf numFmtId="166" fontId="11" fillId="5" borderId="0" xfId="0" applyNumberFormat="1" applyFont="1" applyFill="1" applyAlignment="1">
      <alignment horizontal="center" vertical="center"/>
    </xf>
    <xf numFmtId="166" fontId="18" fillId="10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165" fontId="12" fillId="9" borderId="0" xfId="0" applyNumberFormat="1" applyFont="1" applyFill="1" applyAlignment="1">
      <alignment horizontal="center" vertical="center"/>
    </xf>
    <xf numFmtId="165" fontId="11" fillId="5" borderId="0" xfId="0" applyNumberFormat="1" applyFont="1" applyFill="1" applyAlignment="1">
      <alignment horizontal="center" vertical="center"/>
    </xf>
    <xf numFmtId="165" fontId="18" fillId="10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right" vertical="center"/>
    </xf>
    <xf numFmtId="165" fontId="11" fillId="4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165" fontId="14" fillId="5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3" fontId="12" fillId="3" borderId="0" xfId="0" applyNumberFormat="1" applyFont="1" applyFill="1" applyAlignment="1">
      <alignment horizontal="right" vertical="center"/>
    </xf>
    <xf numFmtId="3" fontId="10" fillId="3" borderId="0" xfId="0" applyNumberFormat="1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165" fontId="11" fillId="3" borderId="0" xfId="0" applyNumberFormat="1" applyFont="1" applyFill="1" applyAlignment="1">
      <alignment horizontal="right" vertical="center"/>
    </xf>
    <xf numFmtId="0" fontId="9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F3C6B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showGridLines="0" tabSelected="1" zoomScaleNormal="100" workbookViewId="0">
      <pane ySplit="3" topLeftCell="A4" activePane="bottomLeft" state="frozen"/>
      <selection pane="bottomLeft" activeCell="N20" sqref="N20"/>
    </sheetView>
  </sheetViews>
  <sheetFormatPr defaultColWidth="8.7109375" defaultRowHeight="15" x14ac:dyDescent="0.25"/>
  <cols>
    <col min="1" max="1" width="30" customWidth="1"/>
    <col min="2" max="5" width="18" customWidth="1"/>
  </cols>
  <sheetData>
    <row r="1" spans="1:5" ht="30" customHeight="1" x14ac:dyDescent="0.25">
      <c r="A1" s="4" t="s">
        <v>0</v>
      </c>
      <c r="B1" s="4"/>
      <c r="C1" s="4"/>
      <c r="D1" s="4"/>
      <c r="E1" s="4"/>
    </row>
    <row r="2" spans="1:5" ht="15" customHeight="1" x14ac:dyDescent="0.25">
      <c r="A2" s="3" t="s">
        <v>269</v>
      </c>
      <c r="B2" s="3"/>
      <c r="C2" s="3"/>
      <c r="D2" s="3"/>
      <c r="E2" s="3"/>
    </row>
    <row r="4" spans="1:5" ht="15" customHeight="1" x14ac:dyDescent="0.25">
      <c r="A4" s="2" t="s">
        <v>1</v>
      </c>
      <c r="B4" s="2"/>
      <c r="C4" s="2"/>
      <c r="D4" s="2"/>
      <c r="E4" s="2"/>
    </row>
    <row r="5" spans="1:5" ht="15" customHeight="1" x14ac:dyDescent="0.25">
      <c r="A5" s="7" t="s">
        <v>2</v>
      </c>
      <c r="B5" s="8">
        <f>Assumptions!B11</f>
        <v>1890</v>
      </c>
      <c r="C5" s="1"/>
      <c r="D5" s="1"/>
      <c r="E5" s="1"/>
    </row>
    <row r="6" spans="1:5" ht="15" customHeight="1" x14ac:dyDescent="0.25">
      <c r="A6" s="7" t="s">
        <v>3</v>
      </c>
      <c r="B6" s="9">
        <f>Assumptions!B9</f>
        <v>7.5</v>
      </c>
      <c r="C6" s="1"/>
      <c r="D6" s="1"/>
      <c r="E6" s="1"/>
    </row>
    <row r="7" spans="1:5" ht="15" customHeight="1" x14ac:dyDescent="0.25">
      <c r="A7" s="7" t="s">
        <v>4</v>
      </c>
      <c r="B7" s="8">
        <f>Assumptions!B26</f>
        <v>760.34999999999991</v>
      </c>
      <c r="C7" s="1"/>
      <c r="D7" s="1"/>
      <c r="E7" s="1"/>
    </row>
    <row r="8" spans="1:5" ht="15" customHeight="1" x14ac:dyDescent="0.25">
      <c r="A8" s="7" t="s">
        <v>5</v>
      </c>
      <c r="B8" s="8">
        <f>Assumptions!B36</f>
        <v>680</v>
      </c>
      <c r="C8" s="1"/>
      <c r="D8" s="1"/>
      <c r="E8" s="1"/>
    </row>
    <row r="9" spans="1:5" ht="15" customHeight="1" x14ac:dyDescent="0.25">
      <c r="A9" s="7" t="s">
        <v>6</v>
      </c>
      <c r="B9" s="8">
        <f>Assumptions!B39</f>
        <v>453</v>
      </c>
      <c r="C9" s="1"/>
      <c r="D9" s="1"/>
      <c r="E9" s="1"/>
    </row>
    <row r="10" spans="1:5" ht="15" customHeight="1" x14ac:dyDescent="0.25">
      <c r="A10" s="7" t="s">
        <v>7</v>
      </c>
      <c r="B10" s="8">
        <f>Assumptions!B36+Assumptions!B39</f>
        <v>1133</v>
      </c>
      <c r="C10" s="1"/>
      <c r="D10" s="1"/>
      <c r="E10" s="1"/>
    </row>
    <row r="11" spans="1:5" ht="15" customHeight="1" x14ac:dyDescent="0.25">
      <c r="A11" s="7" t="s">
        <v>8</v>
      </c>
      <c r="B11" s="9">
        <f>(Assumptions!B36+Assumptions!B39)/Assumptions!B10</f>
        <v>4.496031746031746</v>
      </c>
      <c r="C11" s="1"/>
      <c r="D11" s="1"/>
      <c r="E11" s="1"/>
    </row>
    <row r="12" spans="1:5" ht="15" customHeight="1" x14ac:dyDescent="0.25">
      <c r="A12" s="7" t="s">
        <v>9</v>
      </c>
      <c r="B12" s="10">
        <f>(Assumptions!B26+Assumptions!B19)/(Assumptions!B36+Assumptions!B39+Assumptions!B26+Assumptions!B19)</f>
        <v>0.40938827638335024</v>
      </c>
      <c r="C12" s="1"/>
      <c r="D12" s="1"/>
      <c r="E12" s="1"/>
    </row>
    <row r="14" spans="1:5" ht="15" customHeight="1" x14ac:dyDescent="0.25">
      <c r="A14" s="2" t="s">
        <v>10</v>
      </c>
      <c r="B14" s="2"/>
      <c r="C14" s="2"/>
      <c r="D14" s="2"/>
      <c r="E14" s="2"/>
    </row>
    <row r="15" spans="1:5" ht="15" customHeight="1" x14ac:dyDescent="0.25">
      <c r="A15" s="7" t="s">
        <v>11</v>
      </c>
      <c r="B15" s="8">
        <f>'Cash Flow &amp; Returns'!B18</f>
        <v>2716.5101793447334</v>
      </c>
      <c r="C15" s="1"/>
      <c r="D15" s="1"/>
      <c r="E15" s="1"/>
    </row>
    <row r="16" spans="1:5" ht="15" customHeight="1" x14ac:dyDescent="0.25">
      <c r="A16" s="7" t="s">
        <v>12</v>
      </c>
      <c r="B16" s="9">
        <f>Assumptions!B18</f>
        <v>8</v>
      </c>
      <c r="C16" s="1"/>
      <c r="D16" s="1"/>
      <c r="E16" s="1"/>
    </row>
    <row r="17" spans="1:5" ht="15" customHeight="1" x14ac:dyDescent="0.25">
      <c r="A17" s="7" t="s">
        <v>13</v>
      </c>
      <c r="B17" s="8">
        <f>'Debt Schedule'!F19</f>
        <v>807.08324904460414</v>
      </c>
      <c r="C17" s="1"/>
      <c r="D17" s="1"/>
      <c r="E17" s="1"/>
    </row>
    <row r="18" spans="1:5" ht="15" customHeight="1" x14ac:dyDescent="0.25">
      <c r="A18" s="7" t="s">
        <v>14</v>
      </c>
      <c r="B18" s="8">
        <f>'Cash Flow &amp; Returns'!B20</f>
        <v>1909.4269303001292</v>
      </c>
      <c r="C18" s="1"/>
      <c r="D18" s="1"/>
      <c r="E18" s="1"/>
    </row>
    <row r="19" spans="1:5" ht="15" customHeight="1" x14ac:dyDescent="0.25">
      <c r="A19" s="7" t="s">
        <v>15</v>
      </c>
      <c r="B19" s="8">
        <f>'Cash Flow &amp; Returns'!B24</f>
        <v>1848.6442560052249</v>
      </c>
      <c r="C19" s="1"/>
      <c r="D19" s="1"/>
      <c r="E19" s="1"/>
    </row>
    <row r="20" spans="1:5" ht="15" customHeight="1" x14ac:dyDescent="0.25">
      <c r="A20" s="7" t="s">
        <v>16</v>
      </c>
      <c r="B20" s="9">
        <f>'Cash Flow &amp; Returns'!B25</f>
        <v>2.4313069717961797</v>
      </c>
      <c r="C20" s="1"/>
      <c r="D20" s="1"/>
      <c r="E20" s="1"/>
    </row>
    <row r="21" spans="1:5" ht="15" customHeight="1" x14ac:dyDescent="0.25">
      <c r="A21" s="7" t="s">
        <v>17</v>
      </c>
      <c r="B21" s="10">
        <f>'Cash Flow &amp; Returns'!B26</f>
        <v>0.1944499568307787</v>
      </c>
      <c r="C21" s="1"/>
      <c r="D21" s="1"/>
      <c r="E21" s="1"/>
    </row>
    <row r="24" spans="1:5" ht="15" customHeight="1" x14ac:dyDescent="0.25">
      <c r="A24" s="2" t="s">
        <v>18</v>
      </c>
      <c r="B24" s="2"/>
      <c r="C24" s="2"/>
      <c r="D24" s="2"/>
      <c r="E24" s="2"/>
    </row>
    <row r="25" spans="1:5" ht="15" customHeight="1" x14ac:dyDescent="0.25">
      <c r="A25" s="11" t="s">
        <v>19</v>
      </c>
      <c r="B25" s="3" t="s">
        <v>20</v>
      </c>
      <c r="C25" s="3"/>
      <c r="D25" s="3"/>
      <c r="E25" s="3"/>
    </row>
    <row r="26" spans="1:5" ht="15" customHeight="1" x14ac:dyDescent="0.25">
      <c r="A26" s="11" t="s">
        <v>21</v>
      </c>
      <c r="B26" s="3" t="s">
        <v>22</v>
      </c>
      <c r="C26" s="3"/>
      <c r="D26" s="3"/>
      <c r="E26" s="3"/>
    </row>
    <row r="27" spans="1:5" ht="15" customHeight="1" x14ac:dyDescent="0.25">
      <c r="A27" s="11" t="s">
        <v>23</v>
      </c>
      <c r="B27" s="3" t="s">
        <v>24</v>
      </c>
      <c r="C27" s="3"/>
      <c r="D27" s="3"/>
      <c r="E27" s="3"/>
    </row>
    <row r="28" spans="1:5" ht="15" customHeight="1" x14ac:dyDescent="0.25">
      <c r="A28" s="11" t="s">
        <v>25</v>
      </c>
      <c r="B28" s="3" t="s">
        <v>26</v>
      </c>
      <c r="C28" s="3"/>
      <c r="D28" s="3"/>
      <c r="E28" s="3"/>
    </row>
    <row r="29" spans="1:5" ht="15" customHeight="1" x14ac:dyDescent="0.25">
      <c r="A29" s="11" t="s">
        <v>27</v>
      </c>
      <c r="B29" s="3" t="s">
        <v>28</v>
      </c>
      <c r="C29" s="3"/>
      <c r="D29" s="3"/>
      <c r="E29" s="3"/>
    </row>
    <row r="30" spans="1:5" ht="15" customHeight="1" x14ac:dyDescent="0.25">
      <c r="A30" s="11" t="s">
        <v>29</v>
      </c>
      <c r="B30" s="3" t="s">
        <v>30</v>
      </c>
      <c r="C30" s="3"/>
      <c r="D30" s="3"/>
      <c r="E30" s="3"/>
    </row>
    <row r="31" spans="1:5" ht="15" customHeight="1" x14ac:dyDescent="0.25">
      <c r="A31" s="11" t="s">
        <v>31</v>
      </c>
      <c r="B31" s="3" t="s">
        <v>32</v>
      </c>
      <c r="C31" s="3"/>
      <c r="D31" s="3"/>
      <c r="E31" s="3"/>
    </row>
  </sheetData>
  <mergeCells count="27">
    <mergeCell ref="B30:E30"/>
    <mergeCell ref="B31:E31"/>
    <mergeCell ref="B25:E25"/>
    <mergeCell ref="B26:E26"/>
    <mergeCell ref="B27:E27"/>
    <mergeCell ref="B28:E28"/>
    <mergeCell ref="B29:E29"/>
    <mergeCell ref="C18:E18"/>
    <mergeCell ref="C19:E19"/>
    <mergeCell ref="C20:E20"/>
    <mergeCell ref="C21:E21"/>
    <mergeCell ref="A24:E24"/>
    <mergeCell ref="C12:E12"/>
    <mergeCell ref="A14:E14"/>
    <mergeCell ref="C15:E15"/>
    <mergeCell ref="C16:E16"/>
    <mergeCell ref="C17:E17"/>
    <mergeCell ref="C7:E7"/>
    <mergeCell ref="C8:E8"/>
    <mergeCell ref="C9:E9"/>
    <mergeCell ref="C10:E10"/>
    <mergeCell ref="C11:E11"/>
    <mergeCell ref="A1:E1"/>
    <mergeCell ref="A2:E2"/>
    <mergeCell ref="A4:E4"/>
    <mergeCell ref="C5:E5"/>
    <mergeCell ref="C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showGridLines="0" zoomScaleNormal="100" workbookViewId="0">
      <pane ySplit="3" topLeftCell="A13" activePane="bottomLeft" state="frozen"/>
      <selection pane="bottomLeft" sqref="A1:C1"/>
    </sheetView>
  </sheetViews>
  <sheetFormatPr defaultColWidth="8.7109375" defaultRowHeight="15" x14ac:dyDescent="0.25"/>
  <cols>
    <col min="1" max="1" width="40" customWidth="1"/>
    <col min="2" max="2" width="15" customWidth="1"/>
    <col min="3" max="3" width="42" customWidth="1"/>
  </cols>
  <sheetData>
    <row r="1" spans="1:3" ht="25.5" customHeight="1" x14ac:dyDescent="0.25">
      <c r="A1" s="4" t="s">
        <v>33</v>
      </c>
      <c r="B1" s="4"/>
      <c r="C1" s="4"/>
    </row>
    <row r="2" spans="1:3" ht="15" customHeight="1" x14ac:dyDescent="0.25">
      <c r="A2" s="3" t="s">
        <v>34</v>
      </c>
      <c r="B2" s="3"/>
      <c r="C2" s="3"/>
    </row>
    <row r="4" spans="1:3" ht="15" customHeight="1" x14ac:dyDescent="0.25">
      <c r="A4" s="12" t="s">
        <v>35</v>
      </c>
    </row>
    <row r="5" spans="1:3" ht="15" customHeight="1" x14ac:dyDescent="0.25">
      <c r="A5" s="13" t="s">
        <v>36</v>
      </c>
    </row>
    <row r="6" spans="1:3" ht="15" customHeight="1" x14ac:dyDescent="0.25">
      <c r="A6" s="14" t="s">
        <v>37</v>
      </c>
    </row>
    <row r="8" spans="1:3" ht="15" customHeight="1" x14ac:dyDescent="0.25">
      <c r="A8" s="2" t="s">
        <v>38</v>
      </c>
      <c r="B8" s="2"/>
      <c r="C8" s="2"/>
    </row>
    <row r="9" spans="1:3" ht="15" customHeight="1" x14ac:dyDescent="0.25">
      <c r="A9" s="15" t="s">
        <v>39</v>
      </c>
      <c r="B9" s="16">
        <v>7.5</v>
      </c>
      <c r="C9" s="5" t="s">
        <v>40</v>
      </c>
    </row>
    <row r="10" spans="1:3" ht="15" customHeight="1" x14ac:dyDescent="0.25">
      <c r="A10" s="15" t="s">
        <v>41</v>
      </c>
      <c r="B10" s="17">
        <v>252</v>
      </c>
      <c r="C10" s="5" t="s">
        <v>42</v>
      </c>
    </row>
    <row r="11" spans="1:3" ht="15" customHeight="1" x14ac:dyDescent="0.25">
      <c r="A11" s="15" t="s">
        <v>43</v>
      </c>
      <c r="B11" s="18">
        <f>B9*B10</f>
        <v>1890</v>
      </c>
      <c r="C11" s="5" t="s">
        <v>44</v>
      </c>
    </row>
    <row r="12" spans="1:3" ht="15" customHeight="1" x14ac:dyDescent="0.25">
      <c r="A12" s="15" t="s">
        <v>45</v>
      </c>
      <c r="C12" s="5" t="s">
        <v>46</v>
      </c>
    </row>
    <row r="13" spans="1:3" ht="15" customHeight="1" x14ac:dyDescent="0.25">
      <c r="A13" s="15" t="s">
        <v>47</v>
      </c>
      <c r="B13" s="19">
        <v>1.4999999999999999E-2</v>
      </c>
      <c r="C13" s="5" t="s">
        <v>48</v>
      </c>
    </row>
    <row r="14" spans="1:3" ht="15" customHeight="1" x14ac:dyDescent="0.25">
      <c r="A14" s="15" t="s">
        <v>49</v>
      </c>
      <c r="B14" s="18">
        <f>B11*B13</f>
        <v>28.349999999999998</v>
      </c>
      <c r="C14" s="5" t="s">
        <v>50</v>
      </c>
    </row>
    <row r="15" spans="1:3" ht="15" customHeight="1" x14ac:dyDescent="0.25">
      <c r="A15" s="15" t="s">
        <v>51</v>
      </c>
      <c r="C15" s="5" t="s">
        <v>52</v>
      </c>
    </row>
    <row r="17" spans="1:3" ht="15" customHeight="1" x14ac:dyDescent="0.25">
      <c r="A17" s="15" t="s">
        <v>53</v>
      </c>
      <c r="B17" s="20">
        <v>5</v>
      </c>
      <c r="C17" s="5" t="s">
        <v>54</v>
      </c>
    </row>
    <row r="18" spans="1:3" ht="15" customHeight="1" x14ac:dyDescent="0.25">
      <c r="A18" s="15" t="s">
        <v>55</v>
      </c>
      <c r="B18" s="16">
        <v>8</v>
      </c>
      <c r="C18" s="5" t="s">
        <v>56</v>
      </c>
    </row>
    <row r="19" spans="1:3" ht="15" customHeight="1" x14ac:dyDescent="0.25">
      <c r="A19" s="15" t="s">
        <v>57</v>
      </c>
      <c r="B19" s="17">
        <v>25</v>
      </c>
      <c r="C19" s="5" t="s">
        <v>58</v>
      </c>
    </row>
    <row r="21" spans="1:3" ht="15" customHeight="1" x14ac:dyDescent="0.25">
      <c r="A21" s="2" t="s">
        <v>59</v>
      </c>
      <c r="B21" s="2"/>
      <c r="C21" s="2"/>
    </row>
    <row r="22" spans="1:3" ht="15" customHeight="1" x14ac:dyDescent="0.25">
      <c r="A22" s="2" t="s">
        <v>60</v>
      </c>
      <c r="B22" s="2"/>
      <c r="C22" s="2"/>
    </row>
    <row r="23" spans="1:3" ht="15" customHeight="1" x14ac:dyDescent="0.25">
      <c r="A23" s="15" t="s">
        <v>61</v>
      </c>
      <c r="B23" s="21">
        <v>680</v>
      </c>
      <c r="C23" s="5" t="s">
        <v>62</v>
      </c>
    </row>
    <row r="24" spans="1:3" ht="15" customHeight="1" x14ac:dyDescent="0.25">
      <c r="A24" s="15" t="s">
        <v>63</v>
      </c>
      <c r="B24" s="21">
        <v>453</v>
      </c>
      <c r="C24" s="5" t="s">
        <v>64</v>
      </c>
    </row>
    <row r="25" spans="1:3" ht="15" customHeight="1" x14ac:dyDescent="0.25">
      <c r="A25" s="15" t="s">
        <v>65</v>
      </c>
      <c r="B25" s="17">
        <v>0</v>
      </c>
      <c r="C25" s="5" t="s">
        <v>66</v>
      </c>
    </row>
    <row r="26" spans="1:3" ht="15" customHeight="1" x14ac:dyDescent="0.25">
      <c r="A26" s="15" t="s">
        <v>67</v>
      </c>
      <c r="B26" s="18">
        <f>B33-B23-B24-B25-B27</f>
        <v>760.34999999999991</v>
      </c>
      <c r="C26" s="5" t="s">
        <v>68</v>
      </c>
    </row>
    <row r="27" spans="1:3" ht="15" customHeight="1" x14ac:dyDescent="0.25">
      <c r="A27" s="15" t="s">
        <v>69</v>
      </c>
      <c r="B27" s="22">
        <f>B19</f>
        <v>25</v>
      </c>
      <c r="C27" s="5" t="s">
        <v>70</v>
      </c>
    </row>
    <row r="28" spans="1:3" ht="15" customHeight="1" x14ac:dyDescent="0.25">
      <c r="A28" s="23" t="s">
        <v>71</v>
      </c>
      <c r="B28" s="24">
        <f>B23+B24+B25+B26+B27</f>
        <v>1918.35</v>
      </c>
    </row>
    <row r="30" spans="1:3" ht="15" customHeight="1" x14ac:dyDescent="0.25">
      <c r="A30" s="2" t="s">
        <v>72</v>
      </c>
      <c r="B30" s="2"/>
      <c r="C30" s="2"/>
    </row>
    <row r="31" spans="1:3" ht="15" customHeight="1" x14ac:dyDescent="0.25">
      <c r="A31" s="15" t="s">
        <v>73</v>
      </c>
      <c r="B31" s="22">
        <f>B11</f>
        <v>1890</v>
      </c>
      <c r="C31" s="5" t="s">
        <v>74</v>
      </c>
    </row>
    <row r="32" spans="1:3" ht="15" customHeight="1" x14ac:dyDescent="0.25">
      <c r="A32" s="15" t="s">
        <v>75</v>
      </c>
      <c r="B32" s="22">
        <f>B14</f>
        <v>28.349999999999998</v>
      </c>
      <c r="C32" s="5" t="s">
        <v>76</v>
      </c>
    </row>
    <row r="33" spans="1:3" ht="15" customHeight="1" x14ac:dyDescent="0.25">
      <c r="A33" s="23" t="s">
        <v>77</v>
      </c>
      <c r="B33" s="24">
        <f>B31+B32</f>
        <v>1918.35</v>
      </c>
      <c r="C33" s="5" t="s">
        <v>78</v>
      </c>
    </row>
    <row r="35" spans="1:3" ht="15" customHeight="1" x14ac:dyDescent="0.25">
      <c r="A35" s="2" t="s">
        <v>79</v>
      </c>
      <c r="B35" s="2"/>
      <c r="C35" s="2"/>
    </row>
    <row r="36" spans="1:3" ht="15" customHeight="1" x14ac:dyDescent="0.25">
      <c r="A36" s="15" t="s">
        <v>80</v>
      </c>
      <c r="B36" s="21">
        <v>680</v>
      </c>
      <c r="C36" s="5" t="s">
        <v>81</v>
      </c>
    </row>
    <row r="37" spans="1:3" ht="15" customHeight="1" x14ac:dyDescent="0.25">
      <c r="A37" s="15" t="s">
        <v>82</v>
      </c>
      <c r="B37" s="19">
        <v>9.1999999999999998E-2</v>
      </c>
      <c r="C37" s="5" t="s">
        <v>83</v>
      </c>
    </row>
    <row r="38" spans="1:3" ht="15" customHeight="1" x14ac:dyDescent="0.25">
      <c r="A38" s="15" t="s">
        <v>84</v>
      </c>
      <c r="B38" s="19">
        <v>0.1</v>
      </c>
      <c r="C38" s="5" t="s">
        <v>85</v>
      </c>
    </row>
    <row r="39" spans="1:3" ht="15" customHeight="1" x14ac:dyDescent="0.25">
      <c r="A39" s="15" t="s">
        <v>86</v>
      </c>
      <c r="B39" s="21">
        <v>453</v>
      </c>
      <c r="C39" s="5" t="s">
        <v>87</v>
      </c>
    </row>
    <row r="40" spans="1:3" ht="15" customHeight="1" x14ac:dyDescent="0.25">
      <c r="A40" s="15" t="s">
        <v>88</v>
      </c>
      <c r="B40" s="19">
        <v>0.10199999999999999</v>
      </c>
      <c r="C40" s="5" t="s">
        <v>89</v>
      </c>
    </row>
    <row r="41" spans="1:3" ht="15" customHeight="1" x14ac:dyDescent="0.25">
      <c r="A41" s="15" t="s">
        <v>90</v>
      </c>
      <c r="B41" s="19">
        <v>0.01</v>
      </c>
      <c r="C41" s="5" t="s">
        <v>91</v>
      </c>
    </row>
    <row r="42" spans="1:3" ht="15" customHeight="1" x14ac:dyDescent="0.25">
      <c r="A42" s="15" t="s">
        <v>92</v>
      </c>
      <c r="B42" s="19">
        <v>0.5</v>
      </c>
      <c r="C42" s="5" t="s">
        <v>93</v>
      </c>
    </row>
    <row r="43" spans="1:3" ht="15" customHeight="1" x14ac:dyDescent="0.25">
      <c r="A43" s="15" t="s">
        <v>94</v>
      </c>
      <c r="B43" s="17">
        <v>30</v>
      </c>
      <c r="C43" s="5" t="s">
        <v>95</v>
      </c>
    </row>
    <row r="45" spans="1:3" ht="15" customHeight="1" x14ac:dyDescent="0.25">
      <c r="A45" s="2" t="s">
        <v>96</v>
      </c>
      <c r="B45" s="2"/>
      <c r="C45" s="2"/>
    </row>
    <row r="46" spans="1:3" ht="15" customHeight="1" x14ac:dyDescent="0.25">
      <c r="A46" s="15" t="s">
        <v>97</v>
      </c>
      <c r="B46" s="17">
        <v>1674</v>
      </c>
      <c r="C46" s="5" t="s">
        <v>98</v>
      </c>
    </row>
    <row r="47" spans="1:3" ht="15" customHeight="1" x14ac:dyDescent="0.25">
      <c r="A47" s="15" t="s">
        <v>99</v>
      </c>
      <c r="B47" s="19">
        <v>4.4999999999999998E-2</v>
      </c>
      <c r="C47" s="5" t="s">
        <v>100</v>
      </c>
    </row>
    <row r="48" spans="1:3" ht="15" customHeight="1" x14ac:dyDescent="0.25">
      <c r="A48" s="15" t="s">
        <v>101</v>
      </c>
      <c r="B48" s="19">
        <v>0.05</v>
      </c>
      <c r="C48" s="5"/>
    </row>
    <row r="49" spans="1:3" ht="15" customHeight="1" x14ac:dyDescent="0.25">
      <c r="A49" s="15" t="s">
        <v>102</v>
      </c>
      <c r="B49" s="19">
        <v>4.8000000000000001E-2</v>
      </c>
      <c r="C49" s="5"/>
    </row>
    <row r="50" spans="1:3" ht="15" customHeight="1" x14ac:dyDescent="0.25">
      <c r="A50" s="15" t="s">
        <v>103</v>
      </c>
      <c r="B50" s="19">
        <v>4.4999999999999998E-2</v>
      </c>
      <c r="C50" s="5"/>
    </row>
    <row r="51" spans="1:3" ht="15" customHeight="1" x14ac:dyDescent="0.25">
      <c r="A51" s="15" t="s">
        <v>104</v>
      </c>
      <c r="B51" s="19">
        <v>4.2000000000000003E-2</v>
      </c>
      <c r="C51" s="5" t="s">
        <v>105</v>
      </c>
    </row>
    <row r="52" spans="1:3" ht="15" customHeight="1" x14ac:dyDescent="0.25">
      <c r="A52" s="15" t="s">
        <v>106</v>
      </c>
      <c r="B52" s="19">
        <v>0.1507</v>
      </c>
      <c r="C52" s="5" t="s">
        <v>107</v>
      </c>
    </row>
    <row r="53" spans="1:3" ht="15" customHeight="1" x14ac:dyDescent="0.25">
      <c r="A53" s="15" t="s">
        <v>108</v>
      </c>
      <c r="B53" s="19">
        <v>0.152</v>
      </c>
      <c r="C53" s="5" t="s">
        <v>109</v>
      </c>
    </row>
    <row r="54" spans="1:3" ht="15" customHeight="1" x14ac:dyDescent="0.25">
      <c r="A54" s="15" t="s">
        <v>110</v>
      </c>
      <c r="B54" s="19">
        <v>0.155</v>
      </c>
      <c r="C54" s="5"/>
    </row>
    <row r="55" spans="1:3" ht="15" customHeight="1" x14ac:dyDescent="0.25">
      <c r="A55" s="15" t="s">
        <v>111</v>
      </c>
      <c r="B55" s="19">
        <v>0.158</v>
      </c>
      <c r="C55" s="5"/>
    </row>
    <row r="56" spans="1:3" ht="15" customHeight="1" x14ac:dyDescent="0.25">
      <c r="A56" s="15" t="s">
        <v>112</v>
      </c>
      <c r="B56" s="19">
        <v>0.16</v>
      </c>
      <c r="C56" s="5"/>
    </row>
    <row r="57" spans="1:3" ht="15" customHeight="1" x14ac:dyDescent="0.25">
      <c r="A57" s="15" t="s">
        <v>113</v>
      </c>
      <c r="B57" s="19">
        <v>0.16200000000000001</v>
      </c>
      <c r="C57" s="5" t="s">
        <v>114</v>
      </c>
    </row>
    <row r="58" spans="1:3" ht="15" customHeight="1" x14ac:dyDescent="0.25">
      <c r="A58" s="15" t="s">
        <v>115</v>
      </c>
      <c r="B58" s="19">
        <v>3.7999999999999999E-2</v>
      </c>
      <c r="C58" s="5" t="s">
        <v>116</v>
      </c>
    </row>
    <row r="59" spans="1:3" ht="15" customHeight="1" x14ac:dyDescent="0.25">
      <c r="A59" s="15" t="s">
        <v>117</v>
      </c>
      <c r="B59" s="19">
        <v>4.2000000000000003E-2</v>
      </c>
      <c r="C59" s="5" t="s">
        <v>118</v>
      </c>
    </row>
    <row r="60" spans="1:3" ht="15" customHeight="1" x14ac:dyDescent="0.25">
      <c r="A60" s="15" t="s">
        <v>119</v>
      </c>
      <c r="B60" s="19">
        <v>-5.0000000000000001E-3</v>
      </c>
      <c r="C60" s="5" t="s">
        <v>120</v>
      </c>
    </row>
    <row r="61" spans="1:3" ht="15" customHeight="1" x14ac:dyDescent="0.25">
      <c r="A61" s="15" t="s">
        <v>121</v>
      </c>
      <c r="B61" s="19">
        <v>0.25</v>
      </c>
      <c r="C61" s="5" t="s">
        <v>122</v>
      </c>
    </row>
  </sheetData>
  <mergeCells count="8">
    <mergeCell ref="A30:C30"/>
    <mergeCell ref="A35:C35"/>
    <mergeCell ref="A45:C45"/>
    <mergeCell ref="A1:C1"/>
    <mergeCell ref="A2:C2"/>
    <mergeCell ref="A8:C8"/>
    <mergeCell ref="A21:C21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zoomScaleNormal="100" workbookViewId="0">
      <pane xSplit="1" ySplit="4" topLeftCell="E5" activePane="bottomRight" state="frozen"/>
      <selection pane="topRight" activeCell="B1" sqref="B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34" customWidth="1"/>
    <col min="2" max="9" width="13" customWidth="1"/>
  </cols>
  <sheetData>
    <row r="1" spans="1:8" ht="25.5" customHeight="1" x14ac:dyDescent="0.25">
      <c r="A1" s="4" t="s">
        <v>123</v>
      </c>
      <c r="B1" s="4"/>
      <c r="C1" s="4"/>
      <c r="D1" s="4"/>
      <c r="E1" s="4"/>
      <c r="F1" s="4"/>
      <c r="G1" s="4"/>
      <c r="H1" s="4"/>
    </row>
    <row r="2" spans="1:8" ht="15" customHeight="1" x14ac:dyDescent="0.25">
      <c r="A2" s="3" t="s">
        <v>124</v>
      </c>
      <c r="B2" s="3"/>
      <c r="C2" s="3"/>
      <c r="D2" s="3"/>
      <c r="E2" s="3"/>
      <c r="F2" s="3"/>
      <c r="G2" s="3"/>
      <c r="H2" s="3"/>
    </row>
    <row r="4" spans="1:8" ht="15" customHeight="1" x14ac:dyDescent="0.25">
      <c r="A4" s="25"/>
      <c r="B4" s="26" t="s">
        <v>125</v>
      </c>
      <c r="C4" s="26" t="s">
        <v>126</v>
      </c>
      <c r="D4" s="27" t="s">
        <v>127</v>
      </c>
      <c r="E4" s="27" t="s">
        <v>128</v>
      </c>
      <c r="F4" s="27" t="s">
        <v>129</v>
      </c>
      <c r="G4" s="27" t="s">
        <v>130</v>
      </c>
      <c r="H4" s="27" t="s">
        <v>131</v>
      </c>
    </row>
    <row r="5" spans="1:8" ht="15" customHeight="1" x14ac:dyDescent="0.25">
      <c r="A5" s="2" t="s">
        <v>132</v>
      </c>
      <c r="B5" s="2"/>
      <c r="C5" s="2"/>
      <c r="D5" s="2"/>
      <c r="E5" s="2"/>
      <c r="F5" s="2"/>
      <c r="G5" s="2"/>
      <c r="H5" s="2"/>
    </row>
    <row r="6" spans="1:8" ht="15" customHeight="1" x14ac:dyDescent="0.25">
      <c r="A6" s="23" t="s">
        <v>133</v>
      </c>
      <c r="B6" s="28">
        <v>1598</v>
      </c>
      <c r="C6" s="28">
        <v>1674</v>
      </c>
      <c r="D6" s="29">
        <f>C6*(1+Assumptions!B47)</f>
        <v>1749.33</v>
      </c>
      <c r="E6" s="29">
        <f>D6*(1+Assumptions!B48)</f>
        <v>1836.7964999999999</v>
      </c>
      <c r="F6" s="29">
        <f>E6*(1+Assumptions!B49)</f>
        <v>1924.962732</v>
      </c>
      <c r="G6" s="29">
        <f>F6*(1+Assumptions!B50)</f>
        <v>2011.5860549399997</v>
      </c>
      <c r="H6" s="29">
        <f>G6*(1+Assumptions!B51)</f>
        <v>2096.0726692474796</v>
      </c>
    </row>
    <row r="7" spans="1:8" ht="15" customHeight="1" x14ac:dyDescent="0.25">
      <c r="A7" s="30" t="s">
        <v>134</v>
      </c>
      <c r="B7" s="31" t="s">
        <v>135</v>
      </c>
      <c r="C7" s="32">
        <f t="shared" ref="C7:H7" si="0">(C6-B6)/B6</f>
        <v>4.7559449311639551E-2</v>
      </c>
      <c r="D7" s="33">
        <f t="shared" si="0"/>
        <v>4.4999999999999957E-2</v>
      </c>
      <c r="E7" s="33">
        <f t="shared" si="0"/>
        <v>0.05</v>
      </c>
      <c r="F7" s="33">
        <f t="shared" si="0"/>
        <v>4.8000000000000022E-2</v>
      </c>
      <c r="G7" s="33">
        <f t="shared" si="0"/>
        <v>4.4999999999999873E-2</v>
      </c>
      <c r="H7" s="33">
        <f t="shared" si="0"/>
        <v>4.1999999999999926E-2</v>
      </c>
    </row>
    <row r="8" spans="1:8" ht="15" customHeight="1" x14ac:dyDescent="0.25">
      <c r="A8" s="23" t="s">
        <v>136</v>
      </c>
      <c r="B8" s="28">
        <v>236.50399999999999</v>
      </c>
      <c r="C8" s="28">
        <v>252.27180000000001</v>
      </c>
      <c r="D8" s="29">
        <f>D6*Assumptions!B53</f>
        <v>265.89815999999996</v>
      </c>
      <c r="E8" s="29">
        <f>E6*Assumptions!B54</f>
        <v>284.70345750000001</v>
      </c>
      <c r="F8" s="29">
        <f>F6*Assumptions!B55</f>
        <v>304.14411165600001</v>
      </c>
      <c r="G8" s="29">
        <f>G6*Assumptions!B56</f>
        <v>321.85376879039995</v>
      </c>
      <c r="H8" s="29">
        <f>H6*Assumptions!B57</f>
        <v>339.56377241809167</v>
      </c>
    </row>
    <row r="9" spans="1:8" ht="15" customHeight="1" x14ac:dyDescent="0.25">
      <c r="A9" s="30" t="s">
        <v>137</v>
      </c>
      <c r="B9" s="32">
        <f t="shared" ref="B9:H9" si="1">B8/B6</f>
        <v>0.14799999999999999</v>
      </c>
      <c r="C9" s="32">
        <f t="shared" si="1"/>
        <v>0.1507</v>
      </c>
      <c r="D9" s="33">
        <f t="shared" si="1"/>
        <v>0.152</v>
      </c>
      <c r="E9" s="33">
        <f t="shared" si="1"/>
        <v>0.15500000000000003</v>
      </c>
      <c r="F9" s="33">
        <f t="shared" si="1"/>
        <v>0.158</v>
      </c>
      <c r="G9" s="33">
        <f t="shared" si="1"/>
        <v>0.16</v>
      </c>
      <c r="H9" s="33">
        <f t="shared" si="1"/>
        <v>0.16200000000000001</v>
      </c>
    </row>
    <row r="10" spans="1:8" ht="15" customHeight="1" x14ac:dyDescent="0.25">
      <c r="A10" s="15" t="s">
        <v>138</v>
      </c>
      <c r="B10" s="34">
        <v>-59.8</v>
      </c>
      <c r="C10" s="34">
        <v>-63.6</v>
      </c>
      <c r="D10" s="35">
        <f>-D6*Assumptions!B58</f>
        <v>-66.47453999999999</v>
      </c>
      <c r="E10" s="35">
        <f>-E6*Assumptions!B58</f>
        <v>-69.798266999999996</v>
      </c>
      <c r="F10" s="35">
        <f>-F6*Assumptions!B58</f>
        <v>-73.148583815999999</v>
      </c>
      <c r="G10" s="35">
        <f>-G6*Assumptions!B58</f>
        <v>-76.440270087719981</v>
      </c>
      <c r="H10" s="35">
        <f>-H6*Assumptions!B58</f>
        <v>-79.65076143140422</v>
      </c>
    </row>
    <row r="11" spans="1:8" ht="15" customHeight="1" x14ac:dyDescent="0.25">
      <c r="A11" s="23" t="s">
        <v>139</v>
      </c>
      <c r="B11" s="36">
        <f t="shared" ref="B11:H11" si="2">B8+B10</f>
        <v>176.70400000000001</v>
      </c>
      <c r="C11" s="36">
        <f t="shared" si="2"/>
        <v>188.67180000000002</v>
      </c>
      <c r="D11" s="37">
        <f t="shared" si="2"/>
        <v>199.42361999999997</v>
      </c>
      <c r="E11" s="37">
        <f t="shared" si="2"/>
        <v>214.9051905</v>
      </c>
      <c r="F11" s="37">
        <f t="shared" si="2"/>
        <v>230.99552784000002</v>
      </c>
      <c r="G11" s="37">
        <f t="shared" si="2"/>
        <v>245.41349870267999</v>
      </c>
      <c r="H11" s="37">
        <f t="shared" si="2"/>
        <v>259.91301098668748</v>
      </c>
    </row>
    <row r="12" spans="1:8" ht="15" customHeight="1" x14ac:dyDescent="0.25">
      <c r="A12" s="30" t="s">
        <v>140</v>
      </c>
      <c r="B12" s="32">
        <f t="shared" ref="B12:H12" si="3">B11/B6</f>
        <v>0.1105782227784731</v>
      </c>
      <c r="C12" s="32">
        <f t="shared" si="3"/>
        <v>0.11270716845878137</v>
      </c>
      <c r="D12" s="33">
        <f t="shared" si="3"/>
        <v>0.11399999999999999</v>
      </c>
      <c r="E12" s="33">
        <f t="shared" si="3"/>
        <v>0.11700000000000001</v>
      </c>
      <c r="F12" s="33">
        <f t="shared" si="3"/>
        <v>0.12000000000000001</v>
      </c>
      <c r="G12" s="33">
        <f t="shared" si="3"/>
        <v>0.12200000000000001</v>
      </c>
      <c r="H12" s="33">
        <f t="shared" si="3"/>
        <v>0.12400000000000001</v>
      </c>
    </row>
    <row r="14" spans="1:8" ht="15" customHeight="1" x14ac:dyDescent="0.25">
      <c r="A14" s="2" t="s">
        <v>141</v>
      </c>
      <c r="B14" s="2"/>
      <c r="C14" s="2"/>
      <c r="D14" s="2"/>
      <c r="E14" s="2"/>
      <c r="F14" s="2"/>
      <c r="G14" s="2"/>
      <c r="H14" s="2"/>
    </row>
    <row r="15" spans="1:8" ht="15" customHeight="1" x14ac:dyDescent="0.25">
      <c r="A15" s="15" t="s">
        <v>142</v>
      </c>
      <c r="B15" s="34">
        <v>0</v>
      </c>
      <c r="C15" s="34">
        <v>0</v>
      </c>
      <c r="D15" s="38">
        <f>'Debt Schedule'!B9</f>
        <v>-59.432000000000002</v>
      </c>
      <c r="E15" s="38">
        <f>'Debt Schedule'!C9</f>
        <v>-53.488799999999998</v>
      </c>
      <c r="F15" s="38">
        <f>'Debt Schedule'!D9</f>
        <v>-48.139919999999996</v>
      </c>
      <c r="G15" s="38">
        <f>'Debt Schedule'!E9</f>
        <v>-43.325927999999998</v>
      </c>
      <c r="H15" s="38">
        <f>'Debt Schedule'!F9</f>
        <v>-38.292524920526944</v>
      </c>
    </row>
    <row r="16" spans="1:8" ht="15" customHeight="1" x14ac:dyDescent="0.25">
      <c r="A16" s="15" t="s">
        <v>143</v>
      </c>
      <c r="B16" s="34">
        <v>0</v>
      </c>
      <c r="C16" s="34">
        <v>0</v>
      </c>
      <c r="D16" s="38">
        <f>'Debt Schedule'!B15</f>
        <v>-45.974969999999999</v>
      </c>
      <c r="E16" s="38">
        <f>'Debt Schedule'!C15</f>
        <v>-45.515220300000003</v>
      </c>
      <c r="F16" s="38">
        <f>'Debt Schedule'!D15</f>
        <v>-45.060068097000006</v>
      </c>
      <c r="G16" s="38">
        <f>'Debt Schedule'!E15</f>
        <v>-44.60946741603</v>
      </c>
      <c r="H16" s="38">
        <f>'Debt Schedule'!F15</f>
        <v>-44.163372741869701</v>
      </c>
    </row>
    <row r="17" spans="1:8" ht="15" customHeight="1" x14ac:dyDescent="0.25">
      <c r="A17" s="23" t="s">
        <v>144</v>
      </c>
      <c r="B17" s="36">
        <f t="shared" ref="B17:H17" si="4">B15+B16</f>
        <v>0</v>
      </c>
      <c r="C17" s="36">
        <f t="shared" si="4"/>
        <v>0</v>
      </c>
      <c r="D17" s="29">
        <f t="shared" si="4"/>
        <v>-105.40697</v>
      </c>
      <c r="E17" s="29">
        <f t="shared" si="4"/>
        <v>-99.004020300000008</v>
      </c>
      <c r="F17" s="29">
        <f t="shared" si="4"/>
        <v>-93.199988097000002</v>
      </c>
      <c r="G17" s="29">
        <f t="shared" si="4"/>
        <v>-87.935395416029991</v>
      </c>
      <c r="H17" s="29">
        <f t="shared" si="4"/>
        <v>-82.455897662396637</v>
      </c>
    </row>
    <row r="18" spans="1:8" ht="15" customHeight="1" x14ac:dyDescent="0.25">
      <c r="A18" s="15" t="s">
        <v>145</v>
      </c>
      <c r="B18" s="34">
        <v>-37</v>
      </c>
      <c r="C18" s="34">
        <v>-37</v>
      </c>
      <c r="D18" s="39">
        <f>-MAX((D11+D17)*Assumptions!B61,0)</f>
        <v>-23.504162499999993</v>
      </c>
      <c r="E18" s="39">
        <f>-MAX((E11+E17)*Assumptions!B61,0)</f>
        <v>-28.975292549999999</v>
      </c>
      <c r="F18" s="39">
        <f>-MAX((F11+F17)*Assumptions!B61,0)</f>
        <v>-34.448884935750002</v>
      </c>
      <c r="G18" s="39">
        <f>-MAX((G11+G17)*Assumptions!B61,0)</f>
        <v>-39.369525821662499</v>
      </c>
      <c r="H18" s="39">
        <f>-MAX((H11+H17)*Assumptions!B61,0)</f>
        <v>-44.364278331072711</v>
      </c>
    </row>
    <row r="19" spans="1:8" ht="15" customHeight="1" x14ac:dyDescent="0.25">
      <c r="A19" s="23" t="s">
        <v>146</v>
      </c>
      <c r="B19" s="28">
        <v>138.6</v>
      </c>
      <c r="C19" s="28">
        <v>147.19999999999999</v>
      </c>
      <c r="D19" s="37">
        <f>D11+D17+D18</f>
        <v>70.512487499999978</v>
      </c>
      <c r="E19" s="37">
        <f>E11+E17+E18</f>
        <v>86.92587764999999</v>
      </c>
      <c r="F19" s="37">
        <f>F11+F17+F18</f>
        <v>103.34665480725</v>
      </c>
      <c r="G19" s="37">
        <f>G11+G17+G18</f>
        <v>118.10857746498749</v>
      </c>
      <c r="H19" s="37">
        <f>H11+H17+H18</f>
        <v>133.09283499321813</v>
      </c>
    </row>
  </sheetData>
  <mergeCells count="4">
    <mergeCell ref="A1:H1"/>
    <mergeCell ref="A2:H2"/>
    <mergeCell ref="A5:H5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4" sqref="E34"/>
    </sheetView>
  </sheetViews>
  <sheetFormatPr defaultColWidth="8.7109375" defaultRowHeight="15" x14ac:dyDescent="0.25"/>
  <cols>
    <col min="1" max="1" width="38" customWidth="1"/>
    <col min="2" max="7" width="14" customWidth="1"/>
  </cols>
  <sheetData>
    <row r="1" spans="1:7" ht="25.5" customHeight="1" x14ac:dyDescent="0.25">
      <c r="A1" s="4" t="s">
        <v>147</v>
      </c>
      <c r="B1" s="4"/>
      <c r="C1" s="4"/>
      <c r="D1" s="4"/>
      <c r="E1" s="4"/>
      <c r="F1" s="4"/>
      <c r="G1" s="4"/>
    </row>
    <row r="2" spans="1:7" ht="15" customHeight="1" x14ac:dyDescent="0.25">
      <c r="A2" s="3" t="s">
        <v>148</v>
      </c>
      <c r="B2" s="3"/>
      <c r="C2" s="3"/>
      <c r="D2" s="3"/>
      <c r="E2" s="3"/>
      <c r="F2" s="3"/>
      <c r="G2" s="3"/>
    </row>
    <row r="4" spans="1:7" ht="15" customHeight="1" x14ac:dyDescent="0.25">
      <c r="A4" s="25"/>
      <c r="B4" s="27" t="s">
        <v>127</v>
      </c>
      <c r="C4" s="27" t="s">
        <v>128</v>
      </c>
      <c r="D4" s="27" t="s">
        <v>129</v>
      </c>
      <c r="E4" s="27" t="s">
        <v>130</v>
      </c>
      <c r="F4" s="27" t="s">
        <v>131</v>
      </c>
    </row>
    <row r="5" spans="1:7" ht="15" customHeight="1" x14ac:dyDescent="0.25">
      <c r="A5" s="2" t="s">
        <v>149</v>
      </c>
      <c r="B5" s="2"/>
      <c r="C5" s="2"/>
      <c r="D5" s="2"/>
      <c r="E5" s="2"/>
      <c r="F5" s="2"/>
      <c r="G5" s="2"/>
    </row>
    <row r="6" spans="1:7" ht="15" customHeight="1" x14ac:dyDescent="0.25">
      <c r="A6" s="15" t="s">
        <v>150</v>
      </c>
      <c r="B6" s="40">
        <f>Assumptions!B36</f>
        <v>680</v>
      </c>
      <c r="C6" s="35">
        <f>B10</f>
        <v>612</v>
      </c>
      <c r="D6" s="35">
        <f>C10</f>
        <v>550.79999999999995</v>
      </c>
      <c r="E6" s="35">
        <f>D10</f>
        <v>495.71999999999997</v>
      </c>
      <c r="F6" s="35">
        <f>E10</f>
        <v>438.12957574973626</v>
      </c>
    </row>
    <row r="7" spans="1:7" ht="15" customHeight="1" x14ac:dyDescent="0.25">
      <c r="A7" s="15" t="s">
        <v>151</v>
      </c>
      <c r="B7" s="35">
        <f>-B6*Assumptions!B38</f>
        <v>-68</v>
      </c>
      <c r="C7" s="35">
        <f>-C6*Assumptions!B38</f>
        <v>-61.2</v>
      </c>
      <c r="D7" s="35">
        <f>-D6*Assumptions!B38</f>
        <v>-55.08</v>
      </c>
      <c r="E7" s="35">
        <f>-E6*Assumptions!B38</f>
        <v>-49.572000000000003</v>
      </c>
      <c r="F7" s="35">
        <f>-F6*Assumptions!B38</f>
        <v>-43.81295757497363</v>
      </c>
    </row>
    <row r="8" spans="1:7" ht="15" customHeight="1" x14ac:dyDescent="0.25">
      <c r="A8" s="15" t="s">
        <v>152</v>
      </c>
      <c r="B8" s="39">
        <f>B31</f>
        <v>0</v>
      </c>
      <c r="C8" s="39">
        <f>C31</f>
        <v>0</v>
      </c>
      <c r="D8" s="39">
        <f>D31</f>
        <v>0</v>
      </c>
      <c r="E8" s="39">
        <f>E31</f>
        <v>-8.0184242502637275</v>
      </c>
      <c r="F8" s="39">
        <f>F31</f>
        <v>-18.03186173485858</v>
      </c>
    </row>
    <row r="9" spans="1:7" ht="15" customHeight="1" x14ac:dyDescent="0.25">
      <c r="A9" s="23" t="s">
        <v>153</v>
      </c>
      <c r="B9" s="29">
        <f>-((B6+B6+B7)/2)*Assumptions!B37</f>
        <v>-59.432000000000002</v>
      </c>
      <c r="C9" s="29">
        <f>-((C6+C6+C7)/2)*Assumptions!B37</f>
        <v>-53.488799999999998</v>
      </c>
      <c r="D9" s="29">
        <f>-((D6+D6+D7)/2)*Assumptions!B37</f>
        <v>-48.139919999999996</v>
      </c>
      <c r="E9" s="29">
        <f>-((E6+E6+E7)/2)*Assumptions!B37</f>
        <v>-43.325927999999998</v>
      </c>
      <c r="F9" s="29">
        <f>-((F6+F6+F7)/2)*Assumptions!B37</f>
        <v>-38.292524920526944</v>
      </c>
    </row>
    <row r="10" spans="1:7" ht="15" customHeight="1" x14ac:dyDescent="0.25">
      <c r="A10" s="23" t="s">
        <v>154</v>
      </c>
      <c r="B10" s="37">
        <f>B6+B7+B8</f>
        <v>612</v>
      </c>
      <c r="C10" s="37">
        <f>C6+C7+C8</f>
        <v>550.79999999999995</v>
      </c>
      <c r="D10" s="37">
        <f>D6+D7+D8</f>
        <v>495.71999999999997</v>
      </c>
      <c r="E10" s="37">
        <f>E6+E7+E8</f>
        <v>438.12957574973626</v>
      </c>
      <c r="F10" s="37">
        <f>F6+F7+F8</f>
        <v>376.28475643990407</v>
      </c>
    </row>
    <row r="12" spans="1:7" ht="15" customHeight="1" x14ac:dyDescent="0.25">
      <c r="A12" s="2" t="s">
        <v>155</v>
      </c>
      <c r="B12" s="2"/>
      <c r="C12" s="2"/>
      <c r="D12" s="2"/>
      <c r="E12" s="2"/>
      <c r="F12" s="2"/>
      <c r="G12" s="2"/>
    </row>
    <row r="13" spans="1:7" ht="15" customHeight="1" x14ac:dyDescent="0.25">
      <c r="A13" s="15" t="s">
        <v>150</v>
      </c>
      <c r="B13" s="40">
        <f>Assumptions!B39</f>
        <v>453</v>
      </c>
      <c r="C13" s="39">
        <f>B16</f>
        <v>448.47</v>
      </c>
      <c r="D13" s="39">
        <f>C16</f>
        <v>443.98530000000005</v>
      </c>
      <c r="E13" s="39">
        <f>D16</f>
        <v>439.54544700000002</v>
      </c>
      <c r="F13" s="39">
        <f>E16</f>
        <v>435.14999253000002</v>
      </c>
    </row>
    <row r="14" spans="1:7" ht="15" customHeight="1" x14ac:dyDescent="0.25">
      <c r="A14" s="15" t="s">
        <v>151</v>
      </c>
      <c r="B14" s="35">
        <f>-B13*Assumptions!B41</f>
        <v>-4.53</v>
      </c>
      <c r="C14" s="35">
        <f>-C13*Assumptions!B41</f>
        <v>-4.4847000000000001</v>
      </c>
      <c r="D14" s="35">
        <f>-D13*Assumptions!B41</f>
        <v>-4.4398530000000003</v>
      </c>
      <c r="E14" s="35">
        <f>-E13*Assumptions!B41</f>
        <v>-4.3954544700000007</v>
      </c>
      <c r="F14" s="35">
        <f>-F13*Assumptions!B41</f>
        <v>-4.3514999253000006</v>
      </c>
    </row>
    <row r="15" spans="1:7" ht="15" customHeight="1" x14ac:dyDescent="0.25">
      <c r="A15" s="23" t="s">
        <v>153</v>
      </c>
      <c r="B15" s="29">
        <f>-((B13+B13+B14)/2)*Assumptions!B40</f>
        <v>-45.974969999999999</v>
      </c>
      <c r="C15" s="29">
        <f>-((C13+C13+C14)/2)*Assumptions!B40</f>
        <v>-45.515220300000003</v>
      </c>
      <c r="D15" s="29">
        <f>-((D13+D13+D14)/2)*Assumptions!B40</f>
        <v>-45.060068097000006</v>
      </c>
      <c r="E15" s="29">
        <f>-((E13+E13+E14)/2)*Assumptions!B40</f>
        <v>-44.60946741603</v>
      </c>
      <c r="F15" s="29">
        <f>-((F13+F13+F14)/2)*Assumptions!B40</f>
        <v>-44.163372741869701</v>
      </c>
    </row>
    <row r="16" spans="1:7" ht="15" customHeight="1" x14ac:dyDescent="0.25">
      <c r="A16" s="23" t="s">
        <v>154</v>
      </c>
      <c r="B16" s="37">
        <f>B13+B14</f>
        <v>448.47</v>
      </c>
      <c r="C16" s="37">
        <f>C13+C14</f>
        <v>443.98530000000005</v>
      </c>
      <c r="D16" s="37">
        <f>D13+D14</f>
        <v>439.54544700000002</v>
      </c>
      <c r="E16" s="37">
        <f>E13+E14</f>
        <v>435.14999253000002</v>
      </c>
      <c r="F16" s="37">
        <f>F13+F14</f>
        <v>430.79849260470002</v>
      </c>
    </row>
    <row r="18" spans="1:7" ht="15" customHeight="1" x14ac:dyDescent="0.25">
      <c r="A18" s="2" t="s">
        <v>156</v>
      </c>
      <c r="B18" s="2"/>
      <c r="C18" s="2"/>
      <c r="D18" s="2"/>
      <c r="E18" s="2"/>
      <c r="F18" s="2"/>
      <c r="G18" s="2"/>
    </row>
    <row r="19" spans="1:7" ht="15" customHeight="1" x14ac:dyDescent="0.25">
      <c r="A19" s="23" t="s">
        <v>157</v>
      </c>
      <c r="B19" s="41">
        <f>B10+B16</f>
        <v>1060.47</v>
      </c>
      <c r="C19" s="41">
        <f>C10+C16</f>
        <v>994.78530000000001</v>
      </c>
      <c r="D19" s="41">
        <f>D10+D16</f>
        <v>935.26544699999999</v>
      </c>
      <c r="E19" s="41">
        <f>E10+E16</f>
        <v>873.27956827973628</v>
      </c>
      <c r="F19" s="41">
        <f>F10+F16</f>
        <v>807.08324904460414</v>
      </c>
    </row>
    <row r="20" spans="1:7" ht="15" customHeight="1" x14ac:dyDescent="0.25">
      <c r="A20" s="23" t="s">
        <v>158</v>
      </c>
      <c r="B20" s="29">
        <f>B9+B15</f>
        <v>-105.40697</v>
      </c>
      <c r="C20" s="29">
        <f>C9+C15</f>
        <v>-99.004020300000008</v>
      </c>
      <c r="D20" s="29">
        <f>D9+D15</f>
        <v>-93.199988097000002</v>
      </c>
      <c r="E20" s="29">
        <f>E9+E15</f>
        <v>-87.935395416029991</v>
      </c>
      <c r="F20" s="29">
        <f>F9+F15</f>
        <v>-82.455897662396637</v>
      </c>
    </row>
    <row r="21" spans="1:7" ht="15" customHeight="1" x14ac:dyDescent="0.25">
      <c r="A21" s="30" t="s">
        <v>159</v>
      </c>
      <c r="B21" s="42">
        <f>B19/'Income Statement'!D8</f>
        <v>3.9882562557033121</v>
      </c>
      <c r="C21" s="42">
        <f>C19/'Income Statement'!E8</f>
        <v>3.4941103586703015</v>
      </c>
      <c r="D21" s="42">
        <f>D19/'Income Statement'!F8</f>
        <v>3.0750733325319977</v>
      </c>
      <c r="E21" s="42">
        <f>E19/'Income Statement'!G8</f>
        <v>2.7132805421596289</v>
      </c>
      <c r="F21" s="42">
        <f>F19/'Income Statement'!H8</f>
        <v>2.3768237798079177</v>
      </c>
    </row>
    <row r="23" spans="1:7" ht="15" customHeight="1" x14ac:dyDescent="0.25">
      <c r="A23" s="2" t="s">
        <v>160</v>
      </c>
      <c r="B23" s="2"/>
      <c r="C23" s="2"/>
      <c r="D23" s="2"/>
      <c r="E23" s="2"/>
      <c r="F23" s="2"/>
      <c r="G23" s="2"/>
    </row>
    <row r="24" spans="1:7" ht="15" customHeight="1" x14ac:dyDescent="0.25">
      <c r="A24" s="15" t="s">
        <v>161</v>
      </c>
      <c r="B24" s="40">
        <f>'Income Statement'!D8</f>
        <v>265.89815999999996</v>
      </c>
      <c r="C24" s="40">
        <f>'Income Statement'!E8</f>
        <v>284.70345750000001</v>
      </c>
      <c r="D24" s="40">
        <f>'Income Statement'!F8</f>
        <v>304.14411165600001</v>
      </c>
      <c r="E24" s="40">
        <f>'Income Statement'!G8</f>
        <v>321.85376879039995</v>
      </c>
      <c r="F24" s="40">
        <f>'Income Statement'!H8</f>
        <v>339.56377241809167</v>
      </c>
    </row>
    <row r="25" spans="1:7" ht="15" customHeight="1" x14ac:dyDescent="0.25">
      <c r="A25" s="15" t="s">
        <v>162</v>
      </c>
      <c r="B25" s="35">
        <f>B20</f>
        <v>-105.40697</v>
      </c>
      <c r="C25" s="35">
        <f>C20</f>
        <v>-99.004020300000008</v>
      </c>
      <c r="D25" s="35">
        <f>D20</f>
        <v>-93.199988097000002</v>
      </c>
      <c r="E25" s="35">
        <f>E20</f>
        <v>-87.935395416029991</v>
      </c>
      <c r="F25" s="35">
        <f>F20</f>
        <v>-82.455897662396637</v>
      </c>
    </row>
    <row r="26" spans="1:7" ht="15" customHeight="1" x14ac:dyDescent="0.25">
      <c r="A26" s="15" t="s">
        <v>163</v>
      </c>
      <c r="B26" s="40">
        <f>'Income Statement'!D18</f>
        <v>-23.504162499999993</v>
      </c>
      <c r="C26" s="40">
        <f>'Income Statement'!E18</f>
        <v>-28.975292549999999</v>
      </c>
      <c r="D26" s="40">
        <f>'Income Statement'!F18</f>
        <v>-34.448884935750002</v>
      </c>
      <c r="E26" s="40">
        <f>'Income Statement'!G18</f>
        <v>-39.369525821662499</v>
      </c>
      <c r="F26" s="40">
        <f>'Income Statement'!H18</f>
        <v>-44.364278331072711</v>
      </c>
    </row>
    <row r="27" spans="1:7" ht="15" customHeight="1" x14ac:dyDescent="0.25">
      <c r="A27" s="15" t="s">
        <v>164</v>
      </c>
      <c r="B27" s="35">
        <f>-'Income Statement'!D6*Assumptions!B59</f>
        <v>-73.471860000000007</v>
      </c>
      <c r="C27" s="35">
        <f>-'Income Statement'!E6*Assumptions!B59</f>
        <v>-77.145453000000003</v>
      </c>
      <c r="D27" s="35">
        <f>-'Income Statement'!F6*Assumptions!B59</f>
        <v>-80.848434744000002</v>
      </c>
      <c r="E27" s="35">
        <f>-'Income Statement'!G6*Assumptions!B59</f>
        <v>-84.486614307479996</v>
      </c>
      <c r="F27" s="35">
        <f>-'Income Statement'!H6*Assumptions!B59</f>
        <v>-88.03505210839414</v>
      </c>
    </row>
    <row r="28" spans="1:7" ht="15" customHeight="1" x14ac:dyDescent="0.25">
      <c r="A28" s="15" t="s">
        <v>165</v>
      </c>
      <c r="B28" s="35">
        <f>'Income Statement'!D6*Assumptions!B60</f>
        <v>-8.7466500000000007</v>
      </c>
      <c r="C28" s="35">
        <f>'Income Statement'!E6*Assumptions!B60</f>
        <v>-9.183982499999999</v>
      </c>
      <c r="D28" s="35">
        <f>'Income Statement'!F6*Assumptions!B60</f>
        <v>-9.6248136599999992</v>
      </c>
      <c r="E28" s="35">
        <f>'Income Statement'!G6*Assumptions!B60</f>
        <v>-10.057930274699999</v>
      </c>
      <c r="F28" s="35">
        <f>'Income Statement'!H6*Assumptions!B60</f>
        <v>-10.480363346237398</v>
      </c>
    </row>
    <row r="29" spans="1:7" ht="15" customHeight="1" x14ac:dyDescent="0.25">
      <c r="A29" s="15" t="s">
        <v>166</v>
      </c>
      <c r="B29" s="35">
        <f>B7+B14</f>
        <v>-72.53</v>
      </c>
      <c r="C29" s="35">
        <f>C7+C14</f>
        <v>-65.684700000000007</v>
      </c>
      <c r="D29" s="35">
        <f>D7+D14</f>
        <v>-59.519852999999998</v>
      </c>
      <c r="E29" s="35">
        <f>E7+E14</f>
        <v>-53.967454470000007</v>
      </c>
      <c r="F29" s="35">
        <f>F7+F14</f>
        <v>-48.164457500273627</v>
      </c>
    </row>
    <row r="30" spans="1:7" ht="15" customHeight="1" x14ac:dyDescent="0.25">
      <c r="A30" s="23" t="s">
        <v>167</v>
      </c>
      <c r="B30" s="37">
        <f>MAX(B24+B25+B26+B27+B28+B29-Assumptions!B43,0)</f>
        <v>0</v>
      </c>
      <c r="C30" s="37">
        <f>MAX(C24+C25+C26+C27+C28+C29-Assumptions!B43,0)</f>
        <v>0</v>
      </c>
      <c r="D30" s="37">
        <f>MAX(D24+D25+D26+D27+D28+D29-Assumptions!B43,0)</f>
        <v>0</v>
      </c>
      <c r="E30" s="37">
        <f>MAX(E24+E25+E26+E27+E28+E29-Assumptions!B43,0)</f>
        <v>16.036848500527455</v>
      </c>
      <c r="F30" s="37">
        <f>MAX(F24+F25+F26+F27+F28+F29-Assumptions!B43,0)</f>
        <v>36.063723469717161</v>
      </c>
    </row>
    <row r="31" spans="1:7" ht="15" customHeight="1" x14ac:dyDescent="0.25">
      <c r="A31" s="23" t="s">
        <v>168</v>
      </c>
      <c r="B31" s="43">
        <f>-MIN(B30*Assumptions!B42,MAX(B6+B7,0))</f>
        <v>0</v>
      </c>
      <c r="C31" s="43">
        <f>-MIN(C30*Assumptions!B42,MAX(C6+C7,0))</f>
        <v>0</v>
      </c>
      <c r="D31" s="43">
        <f>-MIN(D30*Assumptions!B42,MAX(D6+D7,0))</f>
        <v>0</v>
      </c>
      <c r="E31" s="43">
        <f>-MIN(E30*Assumptions!B42,MAX(E6+E7,0))</f>
        <v>-8.0184242502637275</v>
      </c>
      <c r="F31" s="43">
        <f>-MIN(F30*Assumptions!B42,MAX(F6+F7,0))</f>
        <v>-18.03186173485858</v>
      </c>
    </row>
  </sheetData>
  <mergeCells count="6">
    <mergeCell ref="A23:G23"/>
    <mergeCell ref="A1:G1"/>
    <mergeCell ref="A2:G2"/>
    <mergeCell ref="A5:G5"/>
    <mergeCell ref="A12:G1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G1"/>
    </sheetView>
  </sheetViews>
  <sheetFormatPr defaultColWidth="8.7109375" defaultRowHeight="15" x14ac:dyDescent="0.25"/>
  <cols>
    <col min="1" max="1" width="38" customWidth="1"/>
    <col min="2" max="7" width="14" customWidth="1"/>
  </cols>
  <sheetData>
    <row r="1" spans="1:7" ht="25.5" customHeight="1" x14ac:dyDescent="0.25">
      <c r="A1" s="4" t="s">
        <v>169</v>
      </c>
      <c r="B1" s="4"/>
      <c r="C1" s="4"/>
      <c r="D1" s="4"/>
      <c r="E1" s="4"/>
      <c r="F1" s="4"/>
      <c r="G1" s="4"/>
    </row>
    <row r="2" spans="1:7" ht="15" customHeight="1" x14ac:dyDescent="0.25">
      <c r="A2" s="3" t="s">
        <v>170</v>
      </c>
      <c r="B2" s="3"/>
      <c r="C2" s="3"/>
      <c r="D2" s="3"/>
      <c r="E2" s="3"/>
      <c r="F2" s="3"/>
      <c r="G2" s="3"/>
    </row>
    <row r="4" spans="1:7" ht="15" customHeight="1" x14ac:dyDescent="0.25">
      <c r="A4" s="25"/>
      <c r="B4" s="27" t="s">
        <v>127</v>
      </c>
      <c r="C4" s="27" t="s">
        <v>128</v>
      </c>
      <c r="D4" s="27" t="s">
        <v>129</v>
      </c>
      <c r="E4" s="27" t="s">
        <v>130</v>
      </c>
      <c r="F4" s="27" t="s">
        <v>131</v>
      </c>
    </row>
    <row r="5" spans="1:7" ht="15" customHeight="1" x14ac:dyDescent="0.25">
      <c r="A5" s="2" t="s">
        <v>171</v>
      </c>
      <c r="B5" s="2"/>
      <c r="C5" s="2"/>
      <c r="D5" s="2"/>
      <c r="E5" s="2"/>
      <c r="F5" s="2"/>
      <c r="G5" s="2"/>
    </row>
    <row r="6" spans="1:7" ht="15" customHeight="1" x14ac:dyDescent="0.25">
      <c r="A6" s="15" t="s">
        <v>172</v>
      </c>
      <c r="B6" s="40">
        <f>'Income Statement'!D8</f>
        <v>265.89815999999996</v>
      </c>
      <c r="C6" s="40">
        <f>'Income Statement'!E8</f>
        <v>284.70345750000001</v>
      </c>
      <c r="D6" s="40">
        <f>'Income Statement'!F8</f>
        <v>304.14411165600001</v>
      </c>
      <c r="E6" s="40">
        <f>'Income Statement'!G8</f>
        <v>321.85376879039995</v>
      </c>
      <c r="F6" s="40">
        <f>'Income Statement'!H8</f>
        <v>339.56377241809167</v>
      </c>
    </row>
    <row r="7" spans="1:7" ht="15" customHeight="1" x14ac:dyDescent="0.25">
      <c r="A7" s="15" t="s">
        <v>173</v>
      </c>
      <c r="B7" s="40">
        <f>'Debt Schedule'!B20</f>
        <v>-105.40697</v>
      </c>
      <c r="C7" s="40">
        <f>'Debt Schedule'!C20</f>
        <v>-99.004020300000008</v>
      </c>
      <c r="D7" s="40">
        <f>'Debt Schedule'!D20</f>
        <v>-93.199988097000002</v>
      </c>
      <c r="E7" s="40">
        <f>'Debt Schedule'!E20</f>
        <v>-87.935395416029991</v>
      </c>
      <c r="F7" s="40">
        <f>'Debt Schedule'!F20</f>
        <v>-82.455897662396637</v>
      </c>
    </row>
    <row r="8" spans="1:7" ht="15" customHeight="1" x14ac:dyDescent="0.25">
      <c r="A8" s="15" t="s">
        <v>174</v>
      </c>
      <c r="B8" s="40">
        <f>'Income Statement'!D18</f>
        <v>-23.504162499999993</v>
      </c>
      <c r="C8" s="40">
        <f>'Income Statement'!E18</f>
        <v>-28.975292549999999</v>
      </c>
      <c r="D8" s="40">
        <f>'Income Statement'!F18</f>
        <v>-34.448884935750002</v>
      </c>
      <c r="E8" s="40">
        <f>'Income Statement'!G18</f>
        <v>-39.369525821662499</v>
      </c>
      <c r="F8" s="40">
        <f>'Income Statement'!H18</f>
        <v>-44.364278331072711</v>
      </c>
    </row>
    <row r="9" spans="1:7" ht="15" customHeight="1" x14ac:dyDescent="0.25">
      <c r="A9" s="15" t="s">
        <v>175</v>
      </c>
      <c r="B9" s="35">
        <f>-'Income Statement'!D6*Assumptions!B59</f>
        <v>-73.471860000000007</v>
      </c>
      <c r="C9" s="35">
        <f>-'Income Statement'!E6*Assumptions!B59</f>
        <v>-77.145453000000003</v>
      </c>
      <c r="D9" s="35">
        <f>-'Income Statement'!F6*Assumptions!B59</f>
        <v>-80.848434744000002</v>
      </c>
      <c r="E9" s="35">
        <f>-'Income Statement'!G6*Assumptions!B59</f>
        <v>-84.486614307479996</v>
      </c>
      <c r="F9" s="35">
        <f>-'Income Statement'!H6*Assumptions!B59</f>
        <v>-88.03505210839414</v>
      </c>
    </row>
    <row r="10" spans="1:7" ht="15" customHeight="1" x14ac:dyDescent="0.25">
      <c r="A10" s="15" t="s">
        <v>176</v>
      </c>
      <c r="B10" s="35">
        <f>'Income Statement'!D6*Assumptions!B60</f>
        <v>-8.7466500000000007</v>
      </c>
      <c r="C10" s="35">
        <f>'Income Statement'!E6*Assumptions!B60</f>
        <v>-9.183982499999999</v>
      </c>
      <c r="D10" s="35">
        <f>'Income Statement'!F6*Assumptions!B60</f>
        <v>-9.6248136599999992</v>
      </c>
      <c r="E10" s="35">
        <f>'Income Statement'!G6*Assumptions!B60</f>
        <v>-10.057930274699999</v>
      </c>
      <c r="F10" s="35">
        <f>'Income Statement'!H6*Assumptions!B60</f>
        <v>-10.480363346237398</v>
      </c>
    </row>
    <row r="11" spans="1:7" ht="15" customHeight="1" x14ac:dyDescent="0.25">
      <c r="A11" s="15" t="s">
        <v>177</v>
      </c>
      <c r="B11" s="35">
        <f>'Debt Schedule'!B7+'Debt Schedule'!B14</f>
        <v>-72.53</v>
      </c>
      <c r="C11" s="35">
        <f>'Debt Schedule'!C7+'Debt Schedule'!C14</f>
        <v>-65.684700000000007</v>
      </c>
      <c r="D11" s="35">
        <f>'Debt Schedule'!D7+'Debt Schedule'!D14</f>
        <v>-59.519852999999998</v>
      </c>
      <c r="E11" s="35">
        <f>'Debt Schedule'!E7+'Debt Schedule'!E14</f>
        <v>-53.967454470000007</v>
      </c>
      <c r="F11" s="35">
        <f>'Debt Schedule'!F7+'Debt Schedule'!F14</f>
        <v>-48.164457500273627</v>
      </c>
    </row>
    <row r="12" spans="1:7" ht="15" customHeight="1" x14ac:dyDescent="0.25">
      <c r="A12" s="15" t="s">
        <v>178</v>
      </c>
      <c r="B12" s="40">
        <f>'Debt Schedule'!B31</f>
        <v>0</v>
      </c>
      <c r="C12" s="40">
        <f>'Debt Schedule'!C31</f>
        <v>0</v>
      </c>
      <c r="D12" s="40">
        <f>'Debt Schedule'!D31</f>
        <v>0</v>
      </c>
      <c r="E12" s="40">
        <f>'Debt Schedule'!E31</f>
        <v>-8.0184242502637275</v>
      </c>
      <c r="F12" s="40">
        <f>'Debt Schedule'!F31</f>
        <v>-18.03186173485858</v>
      </c>
    </row>
    <row r="13" spans="1:7" ht="15" customHeight="1" x14ac:dyDescent="0.25">
      <c r="A13" s="23" t="s">
        <v>179</v>
      </c>
      <c r="B13" s="37">
        <f>B6+B7+B8+B9+B10+B11+B12</f>
        <v>-17.761482500000056</v>
      </c>
      <c r="C13" s="37">
        <f>C6+C7+C8+C9+C10+C11+C12</f>
        <v>4.7100091499999905</v>
      </c>
      <c r="D13" s="37">
        <f>D6+D7+D8+D9+D10+D11+D12</f>
        <v>26.502137219249974</v>
      </c>
      <c r="E13" s="37">
        <f>E6+E7+E8+E9+E10+E11+E12</f>
        <v>38.018424250263728</v>
      </c>
      <c r="F13" s="37">
        <f>F6+F7+F8+F9+F10+F11+F12</f>
        <v>48.03186173485858</v>
      </c>
    </row>
    <row r="15" spans="1:7" ht="15" customHeight="1" x14ac:dyDescent="0.25">
      <c r="A15" s="2" t="s">
        <v>180</v>
      </c>
      <c r="B15" s="2"/>
      <c r="C15" s="2"/>
      <c r="D15" s="2"/>
      <c r="E15" s="2"/>
      <c r="F15" s="2"/>
      <c r="G15" s="2"/>
    </row>
    <row r="16" spans="1:7" ht="15" customHeight="1" x14ac:dyDescent="0.25">
      <c r="A16" s="23" t="s">
        <v>181</v>
      </c>
      <c r="B16" s="8">
        <f>'Income Statement'!H8</f>
        <v>339.56377241809167</v>
      </c>
    </row>
    <row r="17" spans="1:7" ht="15" customHeight="1" x14ac:dyDescent="0.25">
      <c r="A17" s="15" t="s">
        <v>182</v>
      </c>
      <c r="B17" s="44">
        <f>Assumptions!B18</f>
        <v>8</v>
      </c>
    </row>
    <row r="18" spans="1:7" ht="15" customHeight="1" x14ac:dyDescent="0.25">
      <c r="A18" s="23" t="s">
        <v>11</v>
      </c>
      <c r="B18" s="37">
        <f>B16*B17</f>
        <v>2716.5101793447334</v>
      </c>
    </row>
    <row r="19" spans="1:7" ht="15" customHeight="1" x14ac:dyDescent="0.25">
      <c r="A19" s="15" t="s">
        <v>183</v>
      </c>
      <c r="B19" s="45">
        <f>-'Debt Schedule'!F19</f>
        <v>-807.08324904460414</v>
      </c>
    </row>
    <row r="20" spans="1:7" ht="15" customHeight="1" x14ac:dyDescent="0.25">
      <c r="A20" s="23" t="s">
        <v>14</v>
      </c>
      <c r="B20" s="41">
        <f>B18+B19</f>
        <v>1909.4269303001292</v>
      </c>
    </row>
    <row r="22" spans="1:7" ht="15" customHeight="1" x14ac:dyDescent="0.25">
      <c r="A22" s="2" t="s">
        <v>184</v>
      </c>
      <c r="B22" s="2"/>
      <c r="C22" s="2"/>
      <c r="D22" s="2"/>
      <c r="E22" s="2"/>
      <c r="F22" s="2"/>
      <c r="G22" s="2"/>
    </row>
    <row r="23" spans="1:7" ht="15" customHeight="1" x14ac:dyDescent="0.25">
      <c r="A23" s="23" t="s">
        <v>185</v>
      </c>
      <c r="B23" s="8">
        <f>Assumptions!B26</f>
        <v>760.34999999999991</v>
      </c>
    </row>
    <row r="24" spans="1:7" ht="15" customHeight="1" x14ac:dyDescent="0.25">
      <c r="A24" s="23" t="s">
        <v>186</v>
      </c>
      <c r="B24" s="46">
        <f>B20*(Assumptions!B26/(Assumptions!B26+Assumptions!B19))</f>
        <v>1848.6442560052249</v>
      </c>
    </row>
    <row r="25" spans="1:7" ht="15" customHeight="1" x14ac:dyDescent="0.25">
      <c r="A25" s="23" t="s">
        <v>187</v>
      </c>
      <c r="B25" s="47">
        <f>B24/B23</f>
        <v>2.4313069717961797</v>
      </c>
    </row>
    <row r="26" spans="1:7" ht="15" customHeight="1" x14ac:dyDescent="0.25">
      <c r="A26" s="23" t="s">
        <v>188</v>
      </c>
      <c r="B26" s="48">
        <f>(B24/B23)^(1/Assumptions!B17)-1</f>
        <v>0.1944499568307787</v>
      </c>
    </row>
    <row r="28" spans="1:7" ht="15" customHeight="1" x14ac:dyDescent="0.25">
      <c r="A28" s="2" t="s">
        <v>189</v>
      </c>
      <c r="B28" s="2"/>
      <c r="C28" s="2"/>
      <c r="D28" s="2"/>
      <c r="E28" s="2"/>
      <c r="F28" s="2"/>
      <c r="G28" s="2"/>
    </row>
    <row r="29" spans="1:7" ht="15" customHeight="1" x14ac:dyDescent="0.25">
      <c r="A29" s="15" t="s">
        <v>190</v>
      </c>
      <c r="B29" s="49">
        <f>(Assumptions!B36+Assumptions!B39)/Assumptions!B10</f>
        <v>4.496031746031746</v>
      </c>
    </row>
    <row r="30" spans="1:7" ht="15" customHeight="1" x14ac:dyDescent="0.25">
      <c r="A30" s="15" t="s">
        <v>191</v>
      </c>
      <c r="B30" s="49">
        <f>Assumptions!B36/Assumptions!B10</f>
        <v>2.6984126984126986</v>
      </c>
    </row>
    <row r="31" spans="1:7" ht="15" customHeight="1" x14ac:dyDescent="0.25">
      <c r="A31" s="15" t="s">
        <v>192</v>
      </c>
      <c r="B31" s="49">
        <f>'Income Statement'!E8/ABS('Debt Schedule'!B20)</f>
        <v>2.7009927094953969</v>
      </c>
    </row>
    <row r="32" spans="1:7" ht="15" customHeight="1" x14ac:dyDescent="0.25">
      <c r="A32" s="15" t="s">
        <v>193</v>
      </c>
      <c r="B32" s="50">
        <f>(Assumptions!B26+Assumptions!B19)/(Assumptions!B36+Assumptions!B39+Assumptions!B26+Assumptions!B19)</f>
        <v>0.40938827638335024</v>
      </c>
    </row>
  </sheetData>
  <mergeCells count="6">
    <mergeCell ref="A28:G28"/>
    <mergeCell ref="A1:G1"/>
    <mergeCell ref="A2:G2"/>
    <mergeCell ref="A5:G5"/>
    <mergeCell ref="A15:G15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22" customWidth="1"/>
    <col min="2" max="8" width="13" customWidth="1"/>
  </cols>
  <sheetData>
    <row r="1" spans="1:8" ht="25.5" customHeight="1" x14ac:dyDescent="0.25">
      <c r="A1" s="4" t="s">
        <v>194</v>
      </c>
      <c r="B1" s="4"/>
      <c r="C1" s="4"/>
      <c r="D1" s="4"/>
      <c r="E1" s="4"/>
      <c r="F1" s="4"/>
      <c r="G1" s="4"/>
      <c r="H1" s="4"/>
    </row>
    <row r="2" spans="1:8" ht="15" customHeight="1" x14ac:dyDescent="0.25">
      <c r="A2" s="3" t="s">
        <v>195</v>
      </c>
      <c r="B2" s="3"/>
      <c r="C2" s="3"/>
      <c r="D2" s="3"/>
      <c r="E2" s="3"/>
      <c r="F2" s="3"/>
      <c r="G2" s="3"/>
      <c r="H2" s="3"/>
    </row>
    <row r="4" spans="1:8" ht="15" customHeight="1" x14ac:dyDescent="0.25">
      <c r="A4" s="51" t="s">
        <v>196</v>
      </c>
      <c r="B4" s="51" t="s">
        <v>197</v>
      </c>
      <c r="C4" s="51" t="s">
        <v>198</v>
      </c>
      <c r="D4" s="51" t="s">
        <v>199</v>
      </c>
      <c r="E4" s="51" t="s">
        <v>200</v>
      </c>
      <c r="F4" s="51" t="s">
        <v>201</v>
      </c>
      <c r="G4" s="51" t="s">
        <v>202</v>
      </c>
      <c r="H4" s="51" t="s">
        <v>203</v>
      </c>
    </row>
    <row r="5" spans="1:8" ht="15" customHeight="1" x14ac:dyDescent="0.25">
      <c r="A5" s="51" t="s">
        <v>204</v>
      </c>
      <c r="B5" s="52">
        <v>0.227678852093119</v>
      </c>
      <c r="C5" s="52">
        <v>0.25208161580362098</v>
      </c>
      <c r="D5" s="52">
        <v>0.27471810475439801</v>
      </c>
      <c r="E5" s="52">
        <v>0.29585228186165202</v>
      </c>
      <c r="F5" s="52">
        <v>0.31569141712390902</v>
      </c>
      <c r="G5" s="52">
        <v>0.33440144306795999</v>
      </c>
      <c r="H5" s="52">
        <v>0.35211740402535102</v>
      </c>
    </row>
    <row r="6" spans="1:8" ht="15" customHeight="1" x14ac:dyDescent="0.25">
      <c r="A6" s="51" t="s">
        <v>197</v>
      </c>
      <c r="B6" s="53">
        <v>0.18034484222495101</v>
      </c>
      <c r="C6" s="52">
        <v>0.20380674045071101</v>
      </c>
      <c r="D6" s="52">
        <v>0.22557046386549201</v>
      </c>
      <c r="E6" s="52">
        <v>0.24588979811213599</v>
      </c>
      <c r="F6" s="52">
        <v>0.26496402175057598</v>
      </c>
      <c r="G6" s="52">
        <v>0.28295266966391502</v>
      </c>
      <c r="H6" s="52">
        <v>0.29998557945580701</v>
      </c>
    </row>
    <row r="7" spans="1:8" ht="15" customHeight="1" x14ac:dyDescent="0.25">
      <c r="A7" s="51" t="s">
        <v>198</v>
      </c>
      <c r="B7" s="54">
        <v>0.14220699219499999</v>
      </c>
      <c r="C7" s="53">
        <v>0.16491081843709701</v>
      </c>
      <c r="D7" s="53">
        <v>0.18597133920296299</v>
      </c>
      <c r="E7" s="52">
        <v>0.205634140126052</v>
      </c>
      <c r="F7" s="52">
        <v>0.22409206092269801</v>
      </c>
      <c r="G7" s="52">
        <v>0.241499481781181</v>
      </c>
      <c r="H7" s="52">
        <v>0.25798204515228201</v>
      </c>
    </row>
    <row r="8" spans="1:8" ht="15" customHeight="1" x14ac:dyDescent="0.25">
      <c r="A8" s="51" t="s">
        <v>199</v>
      </c>
      <c r="B8" s="54">
        <v>0.11044258212934201</v>
      </c>
      <c r="C8" s="54">
        <v>0.13251502224638201</v>
      </c>
      <c r="D8" s="53">
        <v>0.152989856685361</v>
      </c>
      <c r="E8" s="55">
        <v>0.17210584142204199</v>
      </c>
      <c r="F8" s="53">
        <v>0.19005045336210599</v>
      </c>
      <c r="G8" s="52">
        <v>0.206973779430317</v>
      </c>
      <c r="H8" s="52">
        <v>0.222997968001202</v>
      </c>
    </row>
    <row r="9" spans="1:8" ht="15" customHeight="1" x14ac:dyDescent="0.25">
      <c r="A9" s="51" t="s">
        <v>200</v>
      </c>
      <c r="B9" s="54">
        <v>8.3335924507148801E-2</v>
      </c>
      <c r="C9" s="54">
        <v>0.10486956136973299</v>
      </c>
      <c r="D9" s="54">
        <v>0.124844591193921</v>
      </c>
      <c r="E9" s="54">
        <v>0.14349394175995001</v>
      </c>
      <c r="F9" s="53">
        <v>0.16100051353490299</v>
      </c>
      <c r="G9" s="53">
        <v>0.177510729719773</v>
      </c>
      <c r="H9" s="53">
        <v>0.193143756964305</v>
      </c>
    </row>
    <row r="10" spans="1:8" ht="15" customHeight="1" x14ac:dyDescent="0.25">
      <c r="A10" s="51" t="s">
        <v>201</v>
      </c>
      <c r="B10" s="54">
        <v>5.9770345673078498E-2</v>
      </c>
      <c r="C10" s="54">
        <v>8.0835565855674099E-2</v>
      </c>
      <c r="D10" s="54">
        <v>0.10037608305142801</v>
      </c>
      <c r="E10" s="54">
        <v>0.11861975821149499</v>
      </c>
      <c r="F10" s="54">
        <v>0.13574551320751099</v>
      </c>
      <c r="G10" s="53">
        <v>0.15189658612733301</v>
      </c>
      <c r="H10" s="53">
        <v>0.16718955141360001</v>
      </c>
    </row>
    <row r="11" spans="1:8" ht="15" customHeight="1" x14ac:dyDescent="0.25">
      <c r="A11" s="51" t="s">
        <v>202</v>
      </c>
      <c r="B11" s="54">
        <v>3.8980536841342499E-2</v>
      </c>
      <c r="C11" s="54">
        <v>5.9632514756514203E-2</v>
      </c>
      <c r="D11" s="54">
        <v>7.8789700206261595E-2</v>
      </c>
      <c r="E11" s="54">
        <v>9.6675484130256201E-2</v>
      </c>
      <c r="F11" s="54">
        <v>0.113465278440148</v>
      </c>
      <c r="G11" s="54">
        <v>0.12929951128249301</v>
      </c>
      <c r="H11" s="54">
        <v>0.14429247022675501</v>
      </c>
    </row>
    <row r="14" spans="1:8" ht="15" customHeight="1" x14ac:dyDescent="0.25">
      <c r="A14" s="51" t="s">
        <v>205</v>
      </c>
      <c r="B14" s="51" t="s">
        <v>197</v>
      </c>
      <c r="C14" s="51" t="s">
        <v>198</v>
      </c>
      <c r="D14" s="51" t="s">
        <v>199</v>
      </c>
      <c r="E14" s="51" t="s">
        <v>200</v>
      </c>
      <c r="F14" s="51" t="s">
        <v>201</v>
      </c>
      <c r="G14" s="51" t="s">
        <v>202</v>
      </c>
      <c r="H14" s="51" t="s">
        <v>203</v>
      </c>
    </row>
    <row r="15" spans="1:8" ht="15" customHeight="1" x14ac:dyDescent="0.25">
      <c r="A15" s="51" t="s">
        <v>204</v>
      </c>
      <c r="B15" s="56">
        <v>2.7888417663410801</v>
      </c>
      <c r="C15" s="56">
        <v>3.0772529340536701</v>
      </c>
      <c r="D15" s="56">
        <v>3.3656641017662499</v>
      </c>
      <c r="E15" s="56">
        <v>3.6540752694788399</v>
      </c>
      <c r="F15" s="56">
        <v>3.9424864371914299</v>
      </c>
      <c r="G15" s="56">
        <v>4.2308976049040199</v>
      </c>
      <c r="H15" s="56">
        <v>4.5193087726165997</v>
      </c>
    </row>
    <row r="16" spans="1:8" ht="15" customHeight="1" x14ac:dyDescent="0.25">
      <c r="A16" s="51" t="s">
        <v>197</v>
      </c>
      <c r="B16" s="57">
        <v>2.2911025733838501</v>
      </c>
      <c r="C16" s="56">
        <v>2.5280394898177598</v>
      </c>
      <c r="D16" s="56">
        <v>2.76497640625167</v>
      </c>
      <c r="E16" s="56">
        <v>3.0019133226855801</v>
      </c>
      <c r="F16" s="56">
        <v>3.2388502391194902</v>
      </c>
      <c r="G16" s="56">
        <v>3.4757871555533999</v>
      </c>
      <c r="H16" s="56">
        <v>3.7127240719872998</v>
      </c>
    </row>
    <row r="17" spans="1:8" ht="15" customHeight="1" x14ac:dyDescent="0.25">
      <c r="A17" s="51" t="s">
        <v>198</v>
      </c>
      <c r="B17" s="58">
        <v>1.9441244949549601</v>
      </c>
      <c r="C17" s="57">
        <v>2.1451782881589598</v>
      </c>
      <c r="D17" s="57">
        <v>2.3462320813629498</v>
      </c>
      <c r="E17" s="56">
        <v>2.54728587456695</v>
      </c>
      <c r="F17" s="56">
        <v>2.74833966777094</v>
      </c>
      <c r="G17" s="56">
        <v>2.9493934609749402</v>
      </c>
      <c r="H17" s="56">
        <v>3.1504472541789301</v>
      </c>
    </row>
    <row r="18" spans="1:8" ht="15" customHeight="1" x14ac:dyDescent="0.25">
      <c r="A18" s="51" t="s">
        <v>199</v>
      </c>
      <c r="B18" s="58">
        <v>1.6884201892422099</v>
      </c>
      <c r="C18" s="58">
        <v>1.8630300377628599</v>
      </c>
      <c r="D18" s="57">
        <v>2.0376398862834999</v>
      </c>
      <c r="E18" s="59">
        <v>2.2122497348041401</v>
      </c>
      <c r="F18" s="57">
        <v>2.3868595833247799</v>
      </c>
      <c r="G18" s="56">
        <v>2.5614694318454201</v>
      </c>
      <c r="H18" s="56">
        <v>2.7360792803660599</v>
      </c>
    </row>
    <row r="19" spans="1:8" ht="15" customHeight="1" x14ac:dyDescent="0.25">
      <c r="A19" s="51" t="s">
        <v>200</v>
      </c>
      <c r="B19" s="58">
        <v>1.4921611384876601</v>
      </c>
      <c r="C19" s="58">
        <v>1.64647463936842</v>
      </c>
      <c r="D19" s="58">
        <v>1.8007881402491801</v>
      </c>
      <c r="E19" s="58">
        <v>1.95510164112994</v>
      </c>
      <c r="F19" s="57">
        <v>2.1094151420106999</v>
      </c>
      <c r="G19" s="57">
        <v>2.26372864289146</v>
      </c>
      <c r="H19" s="57">
        <v>2.4180421437722202</v>
      </c>
    </row>
    <row r="20" spans="1:8" ht="15" customHeight="1" x14ac:dyDescent="0.25">
      <c r="A20" s="51" t="s">
        <v>201</v>
      </c>
      <c r="B20" s="58">
        <v>1.3367765391364701</v>
      </c>
      <c r="C20" s="58">
        <v>1.47502076915206</v>
      </c>
      <c r="D20" s="58">
        <v>1.61326499916764</v>
      </c>
      <c r="E20" s="58">
        <v>1.7515092291832299</v>
      </c>
      <c r="F20" s="58">
        <v>1.8897534591988201</v>
      </c>
      <c r="G20" s="57">
        <v>2.02799768921441</v>
      </c>
      <c r="H20" s="57">
        <v>2.16624191923</v>
      </c>
    </row>
    <row r="21" spans="1:8" ht="15" customHeight="1" x14ac:dyDescent="0.25">
      <c r="A21" s="51" t="s">
        <v>202</v>
      </c>
      <c r="B21" s="58">
        <v>1.21070144320118</v>
      </c>
      <c r="C21" s="58">
        <v>1.33590747718965</v>
      </c>
      <c r="D21" s="58">
        <v>1.4611135111781199</v>
      </c>
      <c r="E21" s="58">
        <v>1.5863195451665899</v>
      </c>
      <c r="F21" s="58">
        <v>1.7115255791550601</v>
      </c>
      <c r="G21" s="58">
        <v>1.8367316131435401</v>
      </c>
      <c r="H21" s="58">
        <v>1.96193764713201</v>
      </c>
    </row>
    <row r="24" spans="1:8" ht="15" customHeight="1" x14ac:dyDescent="0.25">
      <c r="A24" s="3" t="s">
        <v>206</v>
      </c>
      <c r="B24" s="3"/>
      <c r="C24" s="3"/>
      <c r="D24" s="3"/>
      <c r="E24" s="3"/>
      <c r="F24" s="3"/>
      <c r="G24" s="3"/>
      <c r="H24" s="3"/>
    </row>
  </sheetData>
  <mergeCells count="3">
    <mergeCell ref="A1:H1"/>
    <mergeCell ref="A2:H2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1" sqref="F21"/>
    </sheetView>
  </sheetViews>
  <sheetFormatPr defaultColWidth="8.7109375" defaultRowHeight="15" x14ac:dyDescent="0.25"/>
  <cols>
    <col min="1" max="1" width="26" customWidth="1"/>
    <col min="2" max="8" width="13" customWidth="1"/>
  </cols>
  <sheetData>
    <row r="1" spans="1:8" ht="25.5" customHeight="1" x14ac:dyDescent="0.25">
      <c r="A1" s="4" t="s">
        <v>207</v>
      </c>
      <c r="B1" s="4"/>
      <c r="C1" s="4"/>
      <c r="D1" s="4"/>
      <c r="E1" s="4"/>
      <c r="F1" s="4"/>
      <c r="G1" s="4"/>
      <c r="H1" s="4"/>
    </row>
    <row r="2" spans="1:8" ht="15" customHeight="1" x14ac:dyDescent="0.25">
      <c r="A2" s="3" t="s">
        <v>277</v>
      </c>
      <c r="B2" s="3"/>
      <c r="C2" s="3"/>
      <c r="D2" s="3"/>
      <c r="E2" s="3"/>
      <c r="F2" s="3"/>
      <c r="G2" s="3"/>
      <c r="H2" s="3"/>
    </row>
    <row r="4" spans="1:8" ht="15" customHeight="1" x14ac:dyDescent="0.25">
      <c r="A4" s="6" t="s">
        <v>208</v>
      </c>
      <c r="B4" s="60" t="s">
        <v>209</v>
      </c>
      <c r="C4" s="60" t="s">
        <v>210</v>
      </c>
      <c r="D4" s="60" t="s">
        <v>172</v>
      </c>
      <c r="E4" s="60" t="s">
        <v>211</v>
      </c>
      <c r="F4" s="60" t="s">
        <v>212</v>
      </c>
      <c r="G4" s="60" t="s">
        <v>213</v>
      </c>
      <c r="H4" s="60" t="s">
        <v>214</v>
      </c>
    </row>
    <row r="5" spans="1:8" ht="15" customHeight="1" x14ac:dyDescent="0.25">
      <c r="A5" s="15" t="s">
        <v>215</v>
      </c>
      <c r="B5" s="61">
        <v>1850</v>
      </c>
      <c r="C5" s="61">
        <v>1674</v>
      </c>
      <c r="D5" s="61">
        <v>252</v>
      </c>
      <c r="E5" s="19">
        <v>0.151</v>
      </c>
      <c r="F5" s="62">
        <f>B5/C5</f>
        <v>1.1051373954599761</v>
      </c>
      <c r="G5" s="62">
        <f>B5/D5</f>
        <v>7.3412698412698409</v>
      </c>
      <c r="H5" s="5" t="s">
        <v>216</v>
      </c>
    </row>
    <row r="6" spans="1:8" ht="15" customHeight="1" x14ac:dyDescent="0.25">
      <c r="A6" s="15" t="s">
        <v>217</v>
      </c>
      <c r="B6" s="61">
        <v>8200</v>
      </c>
      <c r="C6" s="61">
        <v>11900</v>
      </c>
      <c r="D6" s="61">
        <v>280</v>
      </c>
      <c r="E6" s="19">
        <v>2.4E-2</v>
      </c>
      <c r="F6" s="62">
        <f>B6/C6</f>
        <v>0.68907563025210083</v>
      </c>
      <c r="G6" s="62">
        <f>B6/D6</f>
        <v>29.285714285714285</v>
      </c>
      <c r="H6" s="5" t="s">
        <v>218</v>
      </c>
    </row>
    <row r="7" spans="1:8" ht="15" customHeight="1" x14ac:dyDescent="0.25">
      <c r="A7" s="15" t="s">
        <v>219</v>
      </c>
      <c r="B7" s="61">
        <v>3100</v>
      </c>
      <c r="C7" s="61">
        <v>2200</v>
      </c>
      <c r="D7" s="61">
        <v>88</v>
      </c>
      <c r="E7" s="19">
        <v>0.04</v>
      </c>
      <c r="F7" s="62">
        <f>B7/C7</f>
        <v>1.4090909090909092</v>
      </c>
      <c r="G7" s="62">
        <f>B7/D7</f>
        <v>35.227272727272727</v>
      </c>
      <c r="H7" s="5" t="s">
        <v>220</v>
      </c>
    </row>
    <row r="8" spans="1:8" ht="15" customHeight="1" x14ac:dyDescent="0.25">
      <c r="A8" s="15" t="s">
        <v>221</v>
      </c>
      <c r="B8" s="63" t="s">
        <v>222</v>
      </c>
      <c r="C8" s="61">
        <v>7800</v>
      </c>
      <c r="D8" s="61">
        <v>1050</v>
      </c>
      <c r="E8" s="19">
        <v>0.13500000000000001</v>
      </c>
      <c r="F8" s="63" t="s">
        <v>223</v>
      </c>
      <c r="G8" s="62">
        <f>D8/D8</f>
        <v>1</v>
      </c>
      <c r="H8" s="5" t="s">
        <v>224</v>
      </c>
    </row>
    <row r="9" spans="1:8" ht="15" customHeight="1" x14ac:dyDescent="0.25">
      <c r="A9" s="15" t="s">
        <v>225</v>
      </c>
      <c r="B9" s="61">
        <v>2800</v>
      </c>
      <c r="C9" s="61">
        <v>1980</v>
      </c>
      <c r="D9" s="61">
        <v>320</v>
      </c>
      <c r="E9" s="19">
        <v>0.16200000000000001</v>
      </c>
      <c r="F9" s="62">
        <f>B9/C9</f>
        <v>1.4141414141414141</v>
      </c>
      <c r="G9" s="62">
        <f>B9/D9</f>
        <v>8.75</v>
      </c>
      <c r="H9" s="5" t="s">
        <v>226</v>
      </c>
    </row>
    <row r="10" spans="1:8" ht="15" customHeight="1" x14ac:dyDescent="0.25">
      <c r="A10" s="15" t="s">
        <v>227</v>
      </c>
      <c r="B10" s="61">
        <v>12500</v>
      </c>
      <c r="C10" s="61">
        <v>5400</v>
      </c>
      <c r="D10" s="61">
        <v>1080</v>
      </c>
      <c r="E10" s="19">
        <v>0.2</v>
      </c>
      <c r="F10" s="62">
        <f>B10/C10</f>
        <v>2.3148148148148149</v>
      </c>
      <c r="G10" s="62">
        <f>B10/D10</f>
        <v>11.574074074074074</v>
      </c>
      <c r="H10" s="5" t="s">
        <v>228</v>
      </c>
    </row>
    <row r="12" spans="1:8" ht="15" customHeight="1" x14ac:dyDescent="0.25">
      <c r="A12" s="64" t="s">
        <v>229</v>
      </c>
      <c r="B12" s="65" t="s">
        <v>135</v>
      </c>
      <c r="C12" s="65" t="s">
        <v>135</v>
      </c>
      <c r="D12" s="65" t="s">
        <v>135</v>
      </c>
      <c r="E12" s="65" t="s">
        <v>135</v>
      </c>
      <c r="F12" s="66">
        <f>MEDIAN(F5,F6,F7,F9,F10)</f>
        <v>1.4090909090909092</v>
      </c>
      <c r="G12" s="66">
        <f>MEDIAN(G5,G6,G7,G9,G10)</f>
        <v>11.574074074074074</v>
      </c>
      <c r="H12" s="5"/>
    </row>
    <row r="13" spans="1:8" ht="15" customHeight="1" x14ac:dyDescent="0.25">
      <c r="A13" s="64" t="s">
        <v>230</v>
      </c>
      <c r="B13" s="65" t="s">
        <v>135</v>
      </c>
      <c r="C13" s="65" t="s">
        <v>135</v>
      </c>
      <c r="D13" s="65" t="s">
        <v>135</v>
      </c>
      <c r="E13" s="65" t="s">
        <v>135</v>
      </c>
      <c r="F13" s="66">
        <f>AVERAGE(F5,F6,F7,F9,F10)</f>
        <v>1.386452032751843</v>
      </c>
      <c r="G13" s="66">
        <f>AVERAGE(G5,G6,G7,G9,G10)</f>
        <v>18.435666185666186</v>
      </c>
      <c r="H13" s="5"/>
    </row>
    <row r="15" spans="1:8" ht="15" customHeight="1" x14ac:dyDescent="0.25">
      <c r="A15" s="67" t="s">
        <v>231</v>
      </c>
      <c r="B15" s="68">
        <f>Assumptions!B11</f>
        <v>1890</v>
      </c>
      <c r="C15" s="69">
        <v>1674</v>
      </c>
      <c r="D15" s="69">
        <v>252</v>
      </c>
      <c r="E15" s="70">
        <v>0.151</v>
      </c>
      <c r="F15" s="71">
        <f>B15/C15</f>
        <v>1.1290322580645162</v>
      </c>
      <c r="G15" s="71">
        <f>B15/D15</f>
        <v>7.5</v>
      </c>
      <c r="H15" s="5" t="s">
        <v>232</v>
      </c>
    </row>
    <row r="18" spans="1:8" ht="15" customHeight="1" x14ac:dyDescent="0.25">
      <c r="A18" s="3" t="s">
        <v>233</v>
      </c>
      <c r="B18" s="3"/>
      <c r="C18" s="3"/>
      <c r="D18" s="3"/>
      <c r="E18" s="3"/>
      <c r="F18" s="3"/>
      <c r="G18" s="3"/>
      <c r="H18" s="3"/>
    </row>
  </sheetData>
  <mergeCells count="3">
    <mergeCell ref="A1:H1"/>
    <mergeCell ref="A2:H2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1"/>
  <sheetViews>
    <sheetView showGridLines="0" zoomScaleNormal="100" workbookViewId="0">
      <pane ySplit="3" topLeftCell="A4" activePane="bottomLeft" state="frozen"/>
      <selection pane="bottomLeft" activeCell="A2" sqref="A2:B2"/>
    </sheetView>
  </sheetViews>
  <sheetFormatPr defaultColWidth="8.7109375" defaultRowHeight="15" x14ac:dyDescent="0.25"/>
  <cols>
    <col min="1" max="1" width="22" customWidth="1"/>
    <col min="2" max="2" width="72" customWidth="1"/>
  </cols>
  <sheetData>
    <row r="1" spans="1:2" ht="25.5" customHeight="1" x14ac:dyDescent="0.25">
      <c r="A1" s="4" t="s">
        <v>234</v>
      </c>
      <c r="B1" s="4"/>
    </row>
    <row r="2" spans="1:2" ht="15" customHeight="1" x14ac:dyDescent="0.25">
      <c r="A2" s="3" t="s">
        <v>276</v>
      </c>
      <c r="B2" s="3"/>
    </row>
    <row r="4" spans="1:2" ht="15" customHeight="1" x14ac:dyDescent="0.25">
      <c r="A4" s="2" t="s">
        <v>235</v>
      </c>
      <c r="B4" s="2"/>
    </row>
    <row r="5" spans="1:2" ht="60" x14ac:dyDescent="0.25">
      <c r="A5" s="7" t="s">
        <v>236</v>
      </c>
      <c r="B5" s="72" t="s">
        <v>237</v>
      </c>
    </row>
    <row r="6" spans="1:2" ht="36" x14ac:dyDescent="0.25">
      <c r="A6" s="7" t="s">
        <v>238</v>
      </c>
      <c r="B6" s="72" t="s">
        <v>239</v>
      </c>
    </row>
    <row r="8" spans="1:2" ht="15" customHeight="1" x14ac:dyDescent="0.25">
      <c r="A8" s="2" t="s">
        <v>240</v>
      </c>
      <c r="B8" s="2"/>
    </row>
    <row r="9" spans="1:2" ht="60" x14ac:dyDescent="0.25">
      <c r="A9" s="7" t="s">
        <v>241</v>
      </c>
      <c r="B9" s="72" t="s">
        <v>270</v>
      </c>
    </row>
    <row r="10" spans="1:2" ht="48" x14ac:dyDescent="0.25">
      <c r="A10" s="7" t="s">
        <v>242</v>
      </c>
      <c r="B10" s="72" t="s">
        <v>243</v>
      </c>
    </row>
    <row r="12" spans="1:2" ht="15" customHeight="1" x14ac:dyDescent="0.25">
      <c r="A12" s="2" t="s">
        <v>244</v>
      </c>
      <c r="B12" s="2"/>
    </row>
    <row r="13" spans="1:2" ht="51.75" customHeight="1" x14ac:dyDescent="0.25">
      <c r="A13" s="7" t="s">
        <v>245</v>
      </c>
      <c r="B13" s="72" t="s">
        <v>271</v>
      </c>
    </row>
    <row r="14" spans="1:2" ht="51.75" customHeight="1" x14ac:dyDescent="0.25">
      <c r="A14" s="7" t="s">
        <v>246</v>
      </c>
      <c r="B14" s="72" t="s">
        <v>272</v>
      </c>
    </row>
    <row r="15" spans="1:2" ht="51.75" customHeight="1" x14ac:dyDescent="0.25">
      <c r="A15" s="7" t="s">
        <v>247</v>
      </c>
      <c r="B15" s="72" t="s">
        <v>248</v>
      </c>
    </row>
    <row r="16" spans="1:2" ht="51.75" customHeight="1" x14ac:dyDescent="0.25">
      <c r="A16" s="7" t="s">
        <v>249</v>
      </c>
      <c r="B16" s="72" t="s">
        <v>273</v>
      </c>
    </row>
    <row r="17" spans="1:2" ht="51.75" customHeight="1" x14ac:dyDescent="0.25">
      <c r="A17" s="7" t="s">
        <v>250</v>
      </c>
      <c r="B17" s="72" t="s">
        <v>251</v>
      </c>
    </row>
    <row r="19" spans="1:2" ht="15" customHeight="1" x14ac:dyDescent="0.25">
      <c r="A19" s="2" t="s">
        <v>252</v>
      </c>
      <c r="B19" s="2"/>
    </row>
    <row r="20" spans="1:2" ht="51.75" customHeight="1" x14ac:dyDescent="0.25">
      <c r="A20" s="7" t="s">
        <v>253</v>
      </c>
      <c r="B20" s="72" t="s">
        <v>274</v>
      </c>
    </row>
    <row r="21" spans="1:2" ht="51.75" customHeight="1" x14ac:dyDescent="0.25">
      <c r="A21" s="7" t="s">
        <v>254</v>
      </c>
      <c r="B21" s="72" t="s">
        <v>255</v>
      </c>
    </row>
    <row r="22" spans="1:2" ht="51.75" customHeight="1" x14ac:dyDescent="0.25">
      <c r="A22" s="7" t="s">
        <v>256</v>
      </c>
      <c r="B22" s="72" t="s">
        <v>257</v>
      </c>
    </row>
    <row r="23" spans="1:2" ht="51.75" customHeight="1" x14ac:dyDescent="0.25">
      <c r="A23" s="7" t="s">
        <v>258</v>
      </c>
      <c r="B23" s="72" t="s">
        <v>259</v>
      </c>
    </row>
    <row r="25" spans="1:2" ht="15" customHeight="1" x14ac:dyDescent="0.25">
      <c r="A25" s="2" t="s">
        <v>260</v>
      </c>
      <c r="B25" s="2"/>
    </row>
    <row r="26" spans="1:2" ht="51.75" customHeight="1" x14ac:dyDescent="0.25">
      <c r="A26" s="7" t="s">
        <v>261</v>
      </c>
      <c r="B26" s="72" t="s">
        <v>262</v>
      </c>
    </row>
    <row r="27" spans="1:2" ht="51.75" customHeight="1" x14ac:dyDescent="0.25">
      <c r="A27" s="7" t="s">
        <v>263</v>
      </c>
      <c r="B27" s="72" t="s">
        <v>264</v>
      </c>
    </row>
    <row r="28" spans="1:2" ht="51.75" customHeight="1" x14ac:dyDescent="0.25">
      <c r="A28" s="7" t="s">
        <v>265</v>
      </c>
      <c r="B28" s="72" t="s">
        <v>275</v>
      </c>
    </row>
    <row r="30" spans="1:2" ht="15" customHeight="1" x14ac:dyDescent="0.25">
      <c r="A30" s="2" t="s">
        <v>266</v>
      </c>
      <c r="B30" s="2"/>
    </row>
    <row r="31" spans="1:2" ht="51.75" customHeight="1" x14ac:dyDescent="0.25">
      <c r="A31" s="7" t="s">
        <v>267</v>
      </c>
      <c r="B31" s="72" t="s">
        <v>268</v>
      </c>
    </row>
  </sheetData>
  <mergeCells count="8">
    <mergeCell ref="A19:B19"/>
    <mergeCell ref="A25:B25"/>
    <mergeCell ref="A30:B30"/>
    <mergeCell ref="A1:B1"/>
    <mergeCell ref="A2:B2"/>
    <mergeCell ref="A4:B4"/>
    <mergeCell ref="A8:B8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Income Statement</vt:lpstr>
      <vt:lpstr>Debt Schedule</vt:lpstr>
      <vt:lpstr>Cash Flow &amp; Returns</vt:lpstr>
      <vt:lpstr>Sensitivity</vt:lpstr>
      <vt:lpstr>Comparables</vt:lpstr>
      <vt:lpstr>Investment 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Yassin Alyassin</cp:lastModifiedBy>
  <cp:revision>0</cp:revision>
  <dcterms:created xsi:type="dcterms:W3CDTF">2026-03-13T06:10:07Z</dcterms:created>
  <dcterms:modified xsi:type="dcterms:W3CDTF">2026-03-13T06:20:10Z</dcterms:modified>
  <dc:language>en-US</dc:language>
</cp:coreProperties>
</file>