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7a148474250f21e/Desktop/"/>
    </mc:Choice>
  </mc:AlternateContent>
  <xr:revisionPtr revIDLastSave="0" documentId="8_{5BC1374A-E7D4-4F1C-B063-32F372E619BC}" xr6:coauthVersionLast="47" xr6:coauthVersionMax="47" xr10:uidLastSave="{00000000-0000-0000-0000-000000000000}"/>
  <bookViews>
    <workbookView xWindow="-120" yWindow="-120" windowWidth="29040" windowHeight="15720" tabRatio="500" xr2:uid="{00000000-000D-0000-FFFF-FFFF00000000}"/>
  </bookViews>
  <sheets>
    <sheet name="Dashboard" sheetId="1" r:id="rId1"/>
    <sheet name="Trading Comps" sheetId="2" r:id="rId2"/>
    <sheet name="Valuation Bridge" sheetId="3" r:id="rId3"/>
    <sheet name="Sector Memo"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7" i="3" l="1"/>
  <c r="D16" i="3"/>
  <c r="D15" i="3"/>
  <c r="D14" i="3"/>
  <c r="D9" i="3"/>
  <c r="D8" i="3"/>
  <c r="D7" i="3"/>
  <c r="D6" i="3"/>
  <c r="D40" i="2"/>
  <c r="D39" i="2"/>
  <c r="D38" i="2"/>
  <c r="D37" i="2"/>
  <c r="U22" i="2"/>
  <c r="T22" i="2"/>
  <c r="S22" i="2"/>
  <c r="R22" i="2"/>
  <c r="Q22" i="2"/>
  <c r="S21" i="2"/>
  <c r="R21" i="2"/>
  <c r="B9" i="3" s="1"/>
  <c r="C9" i="3" s="1"/>
  <c r="E9" i="3" s="1"/>
  <c r="F9" i="3" s="1"/>
  <c r="Q21" i="2"/>
  <c r="U20" i="2"/>
  <c r="T20" i="2"/>
  <c r="S20" i="2"/>
  <c r="R20" i="2"/>
  <c r="Q20" i="2"/>
  <c r="S19" i="2"/>
  <c r="R19" i="2"/>
  <c r="Q19" i="2"/>
  <c r="S18" i="2"/>
  <c r="R18" i="2"/>
  <c r="Q18" i="2"/>
  <c r="U17" i="2"/>
  <c r="S17" i="2"/>
  <c r="R17" i="2"/>
  <c r="B12" i="1" s="1"/>
  <c r="Q17" i="2"/>
  <c r="U15" i="2"/>
  <c r="T15" i="2"/>
  <c r="S15" i="2"/>
  <c r="R15" i="2"/>
  <c r="Q15" i="2"/>
  <c r="U14" i="2"/>
  <c r="T14" i="2"/>
  <c r="S14" i="2"/>
  <c r="R14" i="2"/>
  <c r="Q14" i="2"/>
  <c r="U13" i="2"/>
  <c r="T13" i="2"/>
  <c r="S13" i="2"/>
  <c r="R13" i="2"/>
  <c r="Q13" i="2"/>
  <c r="U12" i="2"/>
  <c r="T12" i="2"/>
  <c r="S12" i="2"/>
  <c r="R12" i="2"/>
  <c r="Q12" i="2"/>
  <c r="U11" i="2"/>
  <c r="T11" i="2"/>
  <c r="S11" i="2"/>
  <c r="R11" i="2"/>
  <c r="Q11" i="2"/>
  <c r="U10" i="2"/>
  <c r="T10" i="2"/>
  <c r="S10" i="2"/>
  <c r="R10" i="2"/>
  <c r="Q10" i="2"/>
  <c r="U9" i="2"/>
  <c r="T9" i="2"/>
  <c r="S9" i="2"/>
  <c r="R9" i="2"/>
  <c r="Q9" i="2"/>
  <c r="U8" i="2"/>
  <c r="T8" i="2"/>
  <c r="S8" i="2"/>
  <c r="R8" i="2"/>
  <c r="Q8" i="2"/>
  <c r="U7" i="2"/>
  <c r="T7" i="2"/>
  <c r="S7" i="2"/>
  <c r="R7" i="2"/>
  <c r="Q7" i="2"/>
  <c r="U6" i="2"/>
  <c r="T6" i="2"/>
  <c r="S6" i="2"/>
  <c r="R6" i="2"/>
  <c r="Q6" i="2"/>
  <c r="B10" i="1"/>
  <c r="B9" i="1"/>
  <c r="B8" i="1" l="1"/>
  <c r="B16" i="3"/>
  <c r="C16" i="3" s="1"/>
  <c r="E16" i="3" s="1"/>
  <c r="F16" i="3" s="1"/>
  <c r="B8" i="3"/>
  <c r="C8" i="3" s="1"/>
  <c r="E8" i="3" s="1"/>
  <c r="F8" i="3" s="1"/>
  <c r="B7" i="1"/>
  <c r="B7" i="3"/>
  <c r="C7" i="3" s="1"/>
  <c r="E7" i="3" s="1"/>
  <c r="F7" i="3" s="1"/>
  <c r="B37" i="2"/>
  <c r="B5" i="1"/>
  <c r="B6" i="3"/>
  <c r="C6" i="3" s="1"/>
  <c r="E6" i="3" s="1"/>
  <c r="F6" i="3" s="1"/>
  <c r="B39" i="2"/>
  <c r="U21" i="2"/>
  <c r="U19" i="2"/>
  <c r="B11" i="1" s="1"/>
  <c r="U18" i="2"/>
  <c r="T21" i="2"/>
  <c r="B17" i="3" s="1"/>
  <c r="C17" i="3" s="1"/>
  <c r="E17" i="3" s="1"/>
  <c r="F17" i="3" s="1"/>
  <c r="T18" i="2"/>
  <c r="T19" i="2"/>
  <c r="T17" i="2"/>
  <c r="C37" i="2" l="1"/>
  <c r="E37" i="2" s="1"/>
  <c r="F37" i="2" s="1"/>
  <c r="C38" i="2"/>
  <c r="E38" i="2" s="1"/>
  <c r="F38" i="2" s="1"/>
  <c r="C39" i="2"/>
  <c r="E39" i="2" s="1"/>
  <c r="F39" i="2" s="1"/>
  <c r="C40" i="2"/>
  <c r="E40" i="2" s="1"/>
  <c r="F40" i="2" s="1"/>
  <c r="B14" i="3"/>
  <c r="C14" i="3" s="1"/>
  <c r="E14" i="3" s="1"/>
  <c r="F14" i="3" s="1"/>
  <c r="B40" i="2"/>
  <c r="B15" i="3"/>
  <c r="C15" i="3" s="1"/>
  <c r="E15" i="3" s="1"/>
  <c r="F15" i="3" s="1"/>
  <c r="B6" i="1"/>
  <c r="B38" i="2"/>
</calcChain>
</file>

<file path=xl/sharedStrings.xml><?xml version="1.0" encoding="utf-8"?>
<sst xmlns="http://schemas.openxmlformats.org/spreadsheetml/2006/main" count="202" uniqueCount="169">
  <si>
    <t>ENTERPRISE SaaS TRADING COMPS — DASHBOARD</t>
  </si>
  <si>
    <t>PEER GROUP SUMMARY STATISTICS</t>
  </si>
  <si>
    <t>Peer Median EV / NTM Revenue</t>
  </si>
  <si>
    <t>Peer Median EV / NTM EBITDA</t>
  </si>
  <si>
    <t>Peer Mean EV / NTM Revenue</t>
  </si>
  <si>
    <t>Peer Mean EV / NTM EBITDA</t>
  </si>
  <si>
    <t>Peer Median NTM Rev Growth</t>
  </si>
  <si>
    <t>Peer Median NTM EBITDA Margin</t>
  </si>
  <si>
    <t>Peer Median Rule of 40</t>
  </si>
  <si>
    <t>EV Range (Min → Max) NTM Rev</t>
  </si>
  <si>
    <t>NAVIGATION</t>
  </si>
  <si>
    <t>Trading Comps</t>
  </si>
  <si>
    <t>10-company peer table with LTM/NTM financials and EV multiples</t>
  </si>
  <si>
    <t>Valuation Bridge</t>
  </si>
  <si>
    <t>Implied EV and equity value using 25th pct / median / 75th pct multiples</t>
  </si>
  <si>
    <t>Sector Memo</t>
  </si>
  <si>
    <t>Full sector note: valuation framework, key metrics, risks, observations</t>
  </si>
  <si>
    <t>ANALYST NOTES</t>
  </si>
  <si>
    <t>• All NTM figures based on Bloomberg consensus estimates as of March 2026.</t>
  </si>
  <si>
    <t>• UK companies (Sage, Kainos, Aveva) reported in GBP; all others in USD.</t>
  </si>
  <si>
    <t>• Aveva (AVV) was taken private by Schneider Electric in 2023 — figures reflect last public filings.</t>
  </si>
  <si>
    <t>• Rule of 40 = NTM Revenue Growth + NTM EBITDA Margin. Industry benchmark threshold is 40%.</t>
  </si>
  <si>
    <t>• EV multiples calculated as: EV = Market Cap + Net Debt. Net Debt = Total Debt − Cash.</t>
  </si>
  <si>
    <t>ENTERPRISE SOFTWARE &amp; SaaS — TRADING COMPARABLES ANALYSIS</t>
  </si>
  <si>
    <t>Blue = hardcoded input | Black = formula | All USD unless noted (Sage, Kainos, Aveva in GBP)</t>
  </si>
  <si>
    <t>Company</t>
  </si>
  <si>
    <t>Ticker</t>
  </si>
  <si>
    <t>Exch</t>
  </si>
  <si>
    <t>HQ</t>
  </si>
  <si>
    <t>Sub-Sector</t>
  </si>
  <si>
    <t>Mkt Cap
(bn)</t>
  </si>
  <si>
    <t>Net Debt
(bn)</t>
  </si>
  <si>
    <t>EV
(bn)</t>
  </si>
  <si>
    <t>LTM Rev
(bn)</t>
  </si>
  <si>
    <t>NTM Rev
(bn)</t>
  </si>
  <si>
    <t>NTM Rev
Growth</t>
  </si>
  <si>
    <t>LTM
EBITDA</t>
  </si>
  <si>
    <t>NTM
EBITDA</t>
  </si>
  <si>
    <t>NTM EBITDA
Margin</t>
  </si>
  <si>
    <t>LTM
EBIT</t>
  </si>
  <si>
    <t>NTM
EBIT</t>
  </si>
  <si>
    <t>EV /
LTM Rev</t>
  </si>
  <si>
    <t>EV /
NTM Rev</t>
  </si>
  <si>
    <t>EV /
LTM EBITDA</t>
  </si>
  <si>
    <t>EV /
NTM EBITDA</t>
  </si>
  <si>
    <t>Rule of 40
(NTM)</t>
  </si>
  <si>
    <t>Salesforce</t>
  </si>
  <si>
    <t>CRM</t>
  </si>
  <si>
    <t>NYSE</t>
  </si>
  <si>
    <t>San Francisco, US</t>
  </si>
  <si>
    <t>CRM / Cloud</t>
  </si>
  <si>
    <t>ServiceNow</t>
  </si>
  <si>
    <t>NOW</t>
  </si>
  <si>
    <t>Santa Clara, US</t>
  </si>
  <si>
    <t>ITSM / Workflow</t>
  </si>
  <si>
    <t>Workday</t>
  </si>
  <si>
    <t>WDAY</t>
  </si>
  <si>
    <t>NASDAQ</t>
  </si>
  <si>
    <t>Pleasanton, US</t>
  </si>
  <si>
    <t>HCM / Finance Cloud</t>
  </si>
  <si>
    <t>SAP SE</t>
  </si>
  <si>
    <t>SAP</t>
  </si>
  <si>
    <t>Walldorf, Germany</t>
  </si>
  <si>
    <t>ERP / Enterprise</t>
  </si>
  <si>
    <t>Sage Group</t>
  </si>
  <si>
    <t>SGE</t>
  </si>
  <si>
    <t>LSE</t>
  </si>
  <si>
    <t>Newcastle, UK</t>
  </si>
  <si>
    <t>SME Accounting</t>
  </si>
  <si>
    <t>Kainos Group</t>
  </si>
  <si>
    <t>KNOS</t>
  </si>
  <si>
    <t>Belfast, UK</t>
  </si>
  <si>
    <t>Digital Transformation</t>
  </si>
  <si>
    <t>Temenos</t>
  </si>
  <si>
    <t>TEMN</t>
  </si>
  <si>
    <t>SIX</t>
  </si>
  <si>
    <t>Geneva, Switzerland</t>
  </si>
  <si>
    <t>Banking Software</t>
  </si>
  <si>
    <t>Veeva Systems</t>
  </si>
  <si>
    <t>VEEV</t>
  </si>
  <si>
    <t>Life Sciences SaaS</t>
  </si>
  <si>
    <t>HubSpot</t>
  </si>
  <si>
    <t>HUBS</t>
  </si>
  <si>
    <t>Cambridge, US</t>
  </si>
  <si>
    <t>Marketing / CRM</t>
  </si>
  <si>
    <t>Aveva Group</t>
  </si>
  <si>
    <t>AVV</t>
  </si>
  <si>
    <t>Cambridge, UK</t>
  </si>
  <si>
    <t>Industrial Software</t>
  </si>
  <si>
    <t>Minimum</t>
  </si>
  <si>
    <t>25th Percentile</t>
  </si>
  <si>
    <t>Median</t>
  </si>
  <si>
    <t>Mean</t>
  </si>
  <si>
    <t>75th Percentile</t>
  </si>
  <si>
    <t>Maximum</t>
  </si>
  <si>
    <t>IMPLIED VALUATION — HYPOTHETICAL TARGET COMPANY</t>
  </si>
  <si>
    <t>Use this section to value a target using peer multiples. Enter target financials in blue.</t>
  </si>
  <si>
    <t>Target Company Name</t>
  </si>
  <si>
    <t>[Enter Name]</t>
  </si>
  <si>
    <t>Target NTM Revenue (bn)</t>
  </si>
  <si>
    <t>Target NTM EBITDA (bn)</t>
  </si>
  <si>
    <t>Target NTM Rev Growth</t>
  </si>
  <si>
    <t>Target NTM EBITDA Margin</t>
  </si>
  <si>
    <t>Target Net Debt (bn)</t>
  </si>
  <si>
    <t>Target Shares Outstanding (bn)</t>
  </si>
  <si>
    <t>IMPLIED VALUATION SUMMARY</t>
  </si>
  <si>
    <t>Multiple Used</t>
  </si>
  <si>
    <t>Multiple Applied</t>
  </si>
  <si>
    <t>Implied EV (bn)</t>
  </si>
  <si>
    <t>Less: Net Debt (bn)</t>
  </si>
  <si>
    <t>Implied Equity Value (bn)</t>
  </si>
  <si>
    <t>Implied Price per Share</t>
  </si>
  <si>
    <t>EV / NTM Revenue (Median)</t>
  </si>
  <si>
    <t>EV / NTM EBITDA (Median)</t>
  </si>
  <si>
    <t>EV / NTM Revenue (25th pct)</t>
  </si>
  <si>
    <t>EV / NTM EBITDA (25th pct)</t>
  </si>
  <si>
    <t>VALUATION BRIDGE — EV/NTM REVENUE &amp; EV/NTM EBITDA RANGES</t>
  </si>
  <si>
    <t>Shows implied EV range for target company across 25th pct, median, and 75th pct peer multiples</t>
  </si>
  <si>
    <t>EV / NTM REVENUE BRIDGE</t>
  </si>
  <si>
    <t>Multiple</t>
  </si>
  <si>
    <t>Less: Net Debt</t>
  </si>
  <si>
    <t>Equity Value (bn)</t>
  </si>
  <si>
    <t>Price/Share</t>
  </si>
  <si>
    <t>EV / NTM EBITDA BRIDGE</t>
  </si>
  <si>
    <t>RULE OF 40 ANALYSIS</t>
  </si>
  <si>
    <t>Rule of 40</t>
  </si>
  <si>
    <t>EV/NTM Rev</t>
  </si>
  <si>
    <t>Interpretation</t>
  </si>
  <si>
    <t>Premium — high growth + strong margin</t>
  </si>
  <si>
    <t>Premium — best-in-class execution</t>
  </si>
  <si>
    <t>Strong — growth investing phase</t>
  </si>
  <si>
    <t>Solid — maturing, margin expanding</t>
  </si>
  <si>
    <t>Solid — cloud transition complete</t>
  </si>
  <si>
    <t>Solid — scale + efficiency focus</t>
  </si>
  <si>
    <t>Reasonable — UK SME exposure</t>
  </si>
  <si>
    <t>Solid — industrial niche premium</t>
  </si>
  <si>
    <t>Good — banking vertical specialist</t>
  </si>
  <si>
    <t>Developing — UK mid-cap, growing</t>
  </si>
  <si>
    <t>Rule of 40 = NTM Revenue Growth + NTM EBITDA Margin. &gt;40% considered premium; &gt;60% exceptional.</t>
  </si>
  <si>
    <t>SECTOR MEMO — ENTERPRISE SOFTWARE &amp; SaaS COVERAGE UNIVERSE</t>
  </si>
  <si>
    <t>SECTOR OVERVIEW</t>
  </si>
  <si>
    <t>Coverage Universe</t>
  </si>
  <si>
    <t>Why this sector</t>
  </si>
  <si>
    <t>THE UK DISCOUNT — JUSTIFIED OR LAZY?</t>
  </si>
  <si>
    <t>The structural argument</t>
  </si>
  <si>
    <t>My view</t>
  </si>
  <si>
    <t>SALESFORCE — THE IN-BETWEEN CASE</t>
  </si>
  <si>
    <t>Situation</t>
  </si>
  <si>
    <t>Valuation view</t>
  </si>
  <si>
    <t>The AI question</t>
  </si>
  <si>
    <t>KEY METRICS FRAMEWORK</t>
  </si>
  <si>
    <t>EV / NTM Revenue</t>
  </si>
  <si>
    <t>NTM Revenue Growth plus NTM EBITDA Margin. Above 40 percent is considered healthy; above 60 percent is exceptional. ServiceNow at 57.6 percent and Veeva at 50.5 percent are the standout performers in this universe. Worth noting the Rule of 40 has a limitation: it treats a company burning margin to buy growth identically to one growing organically with expanding margins. It is a useful screen, not a substitute for reading the financials.</t>
  </si>
  <si>
    <t>Net Revenue Retention</t>
  </si>
  <si>
    <t>DATA SOURCES</t>
  </si>
  <si>
    <t>Sources</t>
  </si>
  <si>
    <t>Bloomberg consensus estimates for all NTM figures | Yahoo Finance for market cap and share prices | Salesforce 10-K FY2025 | ServiceNow 10-K FY2024 | SAP Annual Report 2024 | Sage Group Annual Report FY2024 | Kainos Group Annual Report FY2024 | Veeva Systems 10-K FY2025 | Workday 10-K FY2025. Aveva figures reflect last public filings prior to Schneider Electric take-private in 2023.</t>
  </si>
  <si>
    <t>10-company universe | NTM multiples | Feb 2026 | Analyst: Yassin Al-Yassin</t>
  </si>
  <si>
    <t>NTM consensus estimates | EV multiples on NTM basis | Source: Bloomberg consensus / Yahoo Finance / company filings | Feb 2026</t>
  </si>
  <si>
    <t>Prepared by: Yassin Al-Yassin | February 2026 | Trading Comparables Analysis</t>
  </si>
  <si>
    <t>Sage, Kainos, and Aveva all trade at a material discount to US peers on EV/NTM Revenue; roughly 2 to 6x vs 6 to 15x for the US names. The standard explanation is smaller addressable markets and lower growth, which is true. But the more important reason is structural: the UK equity market is dominated by pension funds, dividend investors, and value-oriented capital. That investor base reprices growth assets downward almost mechanically. It is not that the businesses are worse, it is that the buyers are different.</t>
  </si>
  <si>
    <t>I think the UK discount is broadly justified, but not entirely. Kainos in particular is interesting, it has genuinely high-quality revenue from Workday implementation and UK public sector contracts, a Rule of 40 score that is improving, and trades at around 2x NTM revenue. The discount there looks excessive relative to fundamentals. That said, without a re-rating catalyst, a US listing, a strategic acquirer, or a shift in UK institutional appetite toward growth, the discount is likely to persist. Valuation alone is not a thesis.</t>
  </si>
  <si>
    <t>Enterprise SaaS is the hardest comp set to do well because the multiples only make sense if you understand what drives the spread. Two companies with identical revenue growth can trade at 5x and 15x NTM revenue. That spread is explained by net revenue retention, gross margin, addressable market, and switching costs, not just growth. Getting comfortable with that is the point of this exercise.</t>
  </si>
  <si>
    <t>Ten publicly listed enterprise software and SaaS companies; Salesforce, ServiceNow, Workday, SAP, Sage, Kainos, Temenos, Veeva, HubSpot, and Aveva. The universe spans US hyperscalers and UK mid-caps deliberately, because the valuation gap between them is one of the more interesting things to analyse in this sector right now.</t>
  </si>
  <si>
    <t>Salesforce is the most interesting name in this universe precisely because it defies easy categorisation. It is not a hypergrowth SaaS company, revenue growth is running at roughly 10 to 12 percent, which puts it firmly in the mature bracket. But it is also not a legacy software vendor. It has a dominant CRM installed base with very high switching costs, strong and expanding margins, and a distribution network that most enterprise software companies would take a decade to replicate.</t>
  </si>
  <si>
    <t>At around 6.6x NTM revenue, Salesforce looks roughly fairly priced. After the sector valuation reset from 2022 to 2023, most large-cap software firms settled into the 5 to 7x forward revenue range, and Salesforce sits comfortably in that band. The market is pricing it as a mature, high-quality enterprise platform with moderate growth and some AI optionality, which is an accurate description of what it actually is.</t>
  </si>
  <si>
    <t>Agentforce is the most credible AI product launch in enterprise software in the last two years, and that matters because Salesforce has something most AI startups do not, enterprise data, existing workflows, and a sales force that can actually get into large companies. The AI angle adds real upside optionality. But it is not the main valuation driver today. AI contributes a small fraction of revenue and the market is right to treat it as an option rather than a core assumption. If Agentforce scales over the next two to three years, the multiple has room to expand. If it does not, the base business still supports the current price.</t>
  </si>
  <si>
    <t>The primary metric for this universe. Reflects the market's willingness to pay for future growth. The range in this peer group, roughly 2x to 15x, tells you everything about how differently the market prices growth quality. ServiceNow at 15x is being rewarded for compounding above 20 percent with expanding margins. Kainos at 2x reflects both lower growth and the UK structural discount described above.</t>
  </si>
  <si>
    <t>Not modelled here because it requires subscription revenue disclosure not always available in public filings, but NRR is arguably the most important leading indicator for SaaS health. NRR above 120 percent means the existing customer base is expanding without new customer acquisition. Any name with NRR below 100 percent is shrinking its base, which no headline growth rate can sustainably offset.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</si>
</sst>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x"/>
    <numFmt numFmtId="165" formatCode="0.0%"/>
    <numFmt numFmtId="166" formatCode="#,##0.0"/>
  </numFmts>
  <fonts count="17" x14ac:knownFonts="1">
    <font>
      <sz val="11"/>
      <color theme="1"/>
      <name val="Calibri"/>
      <family val="2"/>
      <charset val="1"/>
    </font>
    <font>
      <b/>
      <sz val="13"/>
      <color rgb="FFFFFFFF"/>
      <name val="Arial"/>
      <charset val="1"/>
    </font>
    <font>
      <i/>
      <sz val="8"/>
      <color rgb="FF808080"/>
      <name val="Arial"/>
      <charset val="1"/>
    </font>
    <font>
      <b/>
      <sz val="9"/>
      <color rgb="FFFFFFFF"/>
      <name val="Arial"/>
      <charset val="1"/>
    </font>
    <font>
      <b/>
      <sz val="9"/>
      <color rgb="FF1F3C6B"/>
      <name val="Arial"/>
      <charset val="1"/>
    </font>
    <font>
      <b/>
      <sz val="9"/>
      <color rgb="FF008000"/>
      <name val="Arial"/>
      <charset val="1"/>
    </font>
    <font>
      <sz val="9"/>
      <color rgb="FF008000"/>
      <name val="Arial"/>
      <charset val="1"/>
    </font>
    <font>
      <sz val="8"/>
      <color rgb="FF808080"/>
      <name val="Arial"/>
      <charset val="1"/>
    </font>
    <font>
      <b/>
      <sz val="8"/>
      <color rgb="FFFFFFFF"/>
      <name val="Arial"/>
      <charset val="1"/>
    </font>
    <font>
      <b/>
      <sz val="8"/>
      <color rgb="FF1F3C6B"/>
      <name val="Arial"/>
      <charset val="1"/>
    </font>
    <font>
      <sz val="8"/>
      <color rgb="FF404040"/>
      <name val="Arial"/>
      <charset val="1"/>
    </font>
    <font>
      <sz val="9"/>
      <color rgb="FF0000FF"/>
      <name val="Arial"/>
      <charset val="1"/>
    </font>
    <font>
      <sz val="9"/>
      <color rgb="FF000000"/>
      <name val="Arial"/>
      <charset val="1"/>
    </font>
    <font>
      <sz val="9"/>
      <color rgb="FF1F3C6B"/>
      <name val="Arial"/>
      <charset val="1"/>
    </font>
    <font>
      <sz val="9"/>
      <color rgb="FF404040"/>
      <name val="Arial"/>
      <charset val="1"/>
    </font>
    <font>
      <b/>
      <sz val="9"/>
      <color rgb="FF000000"/>
      <name val="Arial"/>
      <charset val="1"/>
    </font>
    <font>
      <sz val="9"/>
      <name val="Arial"/>
      <charset val="1"/>
    </font>
  </fonts>
  <fills count="10">
    <fill>
      <patternFill patternType="none"/>
    </fill>
    <fill>
      <patternFill patternType="gray125"/>
    </fill>
    <fill>
      <patternFill patternType="solid">
        <fgColor rgb="FF1F3C6B"/>
        <bgColor rgb="FF404040"/>
      </patternFill>
    </fill>
    <fill>
      <patternFill patternType="solid">
        <fgColor rgb="FFEBF3FB"/>
        <bgColor rgb="FFF2F2F2"/>
      </patternFill>
    </fill>
    <fill>
      <patternFill patternType="solid">
        <fgColor rgb="FFFFFFFF"/>
        <bgColor rgb="FFF2F2F2"/>
      </patternFill>
    </fill>
    <fill>
      <patternFill patternType="solid">
        <fgColor rgb="FFD9E2F3"/>
        <bgColor rgb="FFE2EFDA"/>
      </patternFill>
    </fill>
    <fill>
      <patternFill patternType="solid">
        <fgColor rgb="FFB4C7E7"/>
        <bgColor rgb="FF99CCFF"/>
      </patternFill>
    </fill>
    <fill>
      <patternFill patternType="solid">
        <fgColor rgb="FFF2F2F2"/>
        <bgColor rgb="FFEBF3FB"/>
      </patternFill>
    </fill>
    <fill>
      <patternFill patternType="solid">
        <fgColor rgb="FF2E5496"/>
        <bgColor rgb="FF1F3C6B"/>
      </patternFill>
    </fill>
    <fill>
      <patternFill patternType="solid">
        <fgColor rgb="FFE2EFDA"/>
        <bgColor rgb="FFF2F2F2"/>
      </patternFill>
    </fill>
  </fills>
  <borders count="1">
    <border>
      <left/>
      <right/>
      <top/>
      <bottom/>
      <diagonal/>
    </border>
  </borders>
  <cellStyleXfs count="1">
    <xf numFmtId="0" fontId="0" fillId="0" borderId="0"/>
  </cellStyleXfs>
  <cellXfs count="65">
    <xf numFmtId="0" fontId="0" fillId="0" borderId="0" xfId="0"/>
    <xf numFmtId="0" fontId="11" fillId="3" borderId="0" xfId="0" applyFont="1" applyFill="1" applyAlignment="1">
      <alignment horizontal="left" vertical="center"/>
    </xf>
    <xf numFmtId="0" fontId="7" fillId="0" borderId="0" xfId="0" applyFont="1" applyAlignment="1">
      <alignment horizontal="left" vertical="center"/>
    </xf>
    <xf numFmtId="0" fontId="0" fillId="0" borderId="0" xfId="0"/>
    <xf numFmtId="0" fontId="3" fillId="2" borderId="0" xfId="0" applyFont="1" applyFill="1" applyAlignment="1">
      <alignment horizontal="lef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4" fillId="3" borderId="0" xfId="0" applyFont="1" applyFill="1" applyAlignment="1">
      <alignment horizontal="left" vertical="center"/>
    </xf>
    <xf numFmtId="164" fontId="5" fillId="4" borderId="0" xfId="0" applyNumberFormat="1" applyFont="1" applyFill="1" applyAlignment="1">
      <alignment horizontal="right" vertical="center"/>
    </xf>
    <xf numFmtId="165" fontId="5" fillId="4" borderId="0" xfId="0" applyNumberFormat="1" applyFont="1" applyFill="1" applyAlignment="1">
      <alignment horizontal="right" vertical="center"/>
    </xf>
    <xf numFmtId="0" fontId="6" fillId="4" borderId="0" xfId="0" applyFont="1" applyFill="1" applyAlignment="1">
      <alignment horizontal="left" vertical="center"/>
    </xf>
    <xf numFmtId="0" fontId="4" fillId="0" borderId="0" xfId="0" applyFont="1" applyAlignment="1">
      <alignment horizontal="left" vertical="center"/>
    </xf>
    <xf numFmtId="0" fontId="8" fillId="2" borderId="0" xfId="0" applyFont="1" applyFill="1" applyAlignment="1">
      <alignment horizontal="center" vertical="center" wrapText="1"/>
    </xf>
    <xf numFmtId="0" fontId="9" fillId="5" borderId="0" xfId="0" applyFont="1" applyFill="1" applyAlignment="1">
      <alignment horizontal="center" vertical="center" wrapText="1"/>
    </xf>
    <xf numFmtId="0" fontId="9" fillId="6" borderId="0" xfId="0" applyFont="1" applyFill="1" applyAlignment="1">
      <alignment horizontal="center" vertical="center" wrapText="1"/>
    </xf>
    <xf numFmtId="0" fontId="4" fillId="7" borderId="0" xfId="0" applyFont="1" applyFill="1" applyAlignment="1">
      <alignment horizontal="left" vertical="center"/>
    </xf>
    <xf numFmtId="0" fontId="10" fillId="7" borderId="0" xfId="0" applyFont="1" applyFill="1" applyAlignment="1">
      <alignment horizontal="center" vertical="center"/>
    </xf>
    <xf numFmtId="0" fontId="10" fillId="7" borderId="0" xfId="0" applyFont="1" applyFill="1" applyAlignment="1">
      <alignment horizontal="left" vertical="center"/>
    </xf>
    <xf numFmtId="0" fontId="2" fillId="7" borderId="0" xfId="0" applyFont="1" applyFill="1" applyAlignment="1">
      <alignment horizontal="left" vertical="center"/>
    </xf>
    <xf numFmtId="166" fontId="11" fillId="7" borderId="0" xfId="0" applyNumberFormat="1" applyFont="1" applyFill="1" applyAlignment="1">
      <alignment horizontal="right" vertical="center"/>
    </xf>
    <xf numFmtId="4" fontId="11" fillId="7" borderId="0" xfId="0" applyNumberFormat="1" applyFont="1" applyFill="1" applyAlignment="1">
      <alignment horizontal="right" vertical="center"/>
    </xf>
    <xf numFmtId="165" fontId="11" fillId="7" borderId="0" xfId="0" applyNumberFormat="1" applyFont="1" applyFill="1" applyAlignment="1">
      <alignment horizontal="right" vertical="center"/>
    </xf>
    <xf numFmtId="164" fontId="12" fillId="7" borderId="0" xfId="0" applyNumberFormat="1" applyFont="1" applyFill="1" applyAlignment="1">
      <alignment horizontal="right" vertical="center"/>
    </xf>
    <xf numFmtId="165" fontId="12" fillId="7" borderId="0" xfId="0" applyNumberFormat="1" applyFont="1" applyFill="1" applyAlignment="1">
      <alignment horizontal="right" vertical="center"/>
    </xf>
    <xf numFmtId="0" fontId="4" fillId="4" borderId="0" xfId="0" applyFont="1" applyFill="1" applyAlignment="1">
      <alignment horizontal="left" vertical="center"/>
    </xf>
    <xf numFmtId="0" fontId="10" fillId="4" borderId="0" xfId="0" applyFont="1" applyFill="1" applyAlignment="1">
      <alignment horizontal="center" vertical="center"/>
    </xf>
    <xf numFmtId="0" fontId="10" fillId="4" borderId="0" xfId="0" applyFont="1" applyFill="1" applyAlignment="1">
      <alignment horizontal="left" vertical="center"/>
    </xf>
    <xf numFmtId="0" fontId="2" fillId="4" borderId="0" xfId="0" applyFont="1" applyFill="1" applyAlignment="1">
      <alignment horizontal="left" vertical="center"/>
    </xf>
    <xf numFmtId="166" fontId="11" fillId="4" borderId="0" xfId="0" applyNumberFormat="1" applyFont="1" applyFill="1" applyAlignment="1">
      <alignment horizontal="right" vertical="center"/>
    </xf>
    <xf numFmtId="4" fontId="11" fillId="4" borderId="0" xfId="0" applyNumberFormat="1" applyFont="1" applyFill="1" applyAlignment="1">
      <alignment horizontal="right" vertical="center"/>
    </xf>
    <xf numFmtId="165" fontId="11" fillId="4" borderId="0" xfId="0" applyNumberFormat="1" applyFont="1" applyFill="1" applyAlignment="1">
      <alignment horizontal="right" vertical="center"/>
    </xf>
    <xf numFmtId="164" fontId="12" fillId="4" borderId="0" xfId="0" applyNumberFormat="1" applyFont="1" applyFill="1" applyAlignment="1">
      <alignment horizontal="right" vertical="center"/>
    </xf>
    <xf numFmtId="165" fontId="12" fillId="4" borderId="0" xfId="0" applyNumberFormat="1" applyFont="1" applyFill="1" applyAlignment="1">
      <alignment horizontal="right" vertical="center"/>
    </xf>
    <xf numFmtId="0" fontId="13" fillId="7" borderId="0" xfId="0" applyFont="1" applyFill="1" applyAlignment="1">
      <alignment horizontal="left" vertical="center"/>
    </xf>
    <xf numFmtId="0" fontId="0" fillId="7" borderId="0" xfId="0" applyFill="1"/>
    <xf numFmtId="0" fontId="4" fillId="5" borderId="0" xfId="0" applyFont="1" applyFill="1" applyAlignment="1">
      <alignment horizontal="lef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0" fontId="13" fillId="0" borderId="0" xfId="0" applyFont="1" applyAlignment="1">
      <alignment horizontal="left" vertical="center"/>
    </xf>
    <xf numFmtId="0" fontId="8" fillId="8" borderId="0" xfId="0" applyFont="1" applyFill="1" applyAlignment="1">
      <alignment horizontal="center" vertical="center"/>
    </xf>
    <xf numFmtId="0" fontId="14" fillId="3" borderId="0" xfId="0" applyFont="1" applyFill="1" applyAlignment="1">
      <alignment horizontal="left" vertical="center"/>
    </xf>
    <xf numFmtId="164" fontId="12" fillId="3" borderId="0" xfId="0" applyNumberFormat="1" applyFont="1" applyFill="1" applyAlignment="1">
      <alignment horizontal="right" vertical="center"/>
    </xf>
    <xf numFmtId="4" fontId="12" fillId="3" borderId="0" xfId="0" applyNumberFormat="1" applyFont="1" applyFill="1" applyAlignment="1">
      <alignment horizontal="right" vertical="center"/>
    </xf>
    <xf numFmtId="4" fontId="15" fillId="5" borderId="0" xfId="0" applyNumberFormat="1" applyFont="1" applyFill="1" applyAlignment="1">
      <alignment horizontal="right" vertical="center"/>
    </xf>
    <xf numFmtId="4" fontId="15" fillId="6" borderId="0" xfId="0" applyNumberFormat="1" applyFont="1" applyFill="1" applyAlignment="1">
      <alignment horizontal="right" vertical="center"/>
    </xf>
    <xf numFmtId="0" fontId="12" fillId="0" borderId="0" xfId="0" applyFont="1" applyAlignment="1">
      <alignment horizontal="left"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13" fillId="4" borderId="0" xfId="0" applyFont="1" applyFill="1" applyAlignment="1">
      <alignment horizontal="left" vertical="center"/>
    </xf>
    <xf numFmtId="4" fontId="12" fillId="4" borderId="0" xfId="0" applyNumberFormat="1" applyFont="1" applyFill="1" applyAlignment="1">
      <alignment horizontal="right" vertical="center"/>
    </xf>
    <xf numFmtId="164" fontId="15" fillId="5" borderId="0" xfId="0" applyNumberFormat="1" applyFont="1" applyFill="1" applyAlignment="1">
      <alignment horizontal="right" vertical="center"/>
    </xf>
    <xf numFmtId="4" fontId="12" fillId="5" borderId="0" xfId="0" applyNumberFormat="1" applyFont="1" applyFill="1" applyAlignment="1">
      <alignment horizontal="right" vertical="center"/>
    </xf>
    <xf numFmtId="0" fontId="13" fillId="9" borderId="0" xfId="0" applyFont="1" applyFill="1" applyAlignment="1">
      <alignment horizontal="left" vertical="center"/>
    </xf>
    <xf numFmtId="165" fontId="5" fillId="9" borderId="0" xfId="0" applyNumberFormat="1" applyFont="1" applyFill="1" applyAlignment="1">
      <alignment horizontal="center" vertical="center"/>
    </xf>
    <xf numFmtId="164" fontId="11" fillId="9" borderId="0" xfId="0" applyNumberFormat="1" applyFont="1" applyFill="1" applyAlignment="1">
      <alignment horizontal="center" vertical="center"/>
    </xf>
    <xf numFmtId="0" fontId="2" fillId="9" borderId="0" xfId="0" applyFont="1" applyFill="1" applyAlignment="1">
      <alignment horizontal="left" vertical="center"/>
    </xf>
    <xf numFmtId="0" fontId="13" fillId="3" borderId="0" xfId="0" applyFont="1" applyFill="1" applyAlignment="1">
      <alignment horizontal="left" vertical="center"/>
    </xf>
    <xf numFmtId="165" fontId="12" fillId="3" borderId="0" xfId="0" applyNumberFormat="1" applyFont="1" applyFill="1" applyAlignment="1">
      <alignment horizontal="center" vertical="center"/>
    </xf>
    <xf numFmtId="164" fontId="11" fillId="3" borderId="0" xfId="0" applyNumberFormat="1" applyFont="1" applyFill="1" applyAlignment="1">
      <alignment horizontal="center" vertical="center"/>
    </xf>
    <xf numFmtId="0" fontId="2" fillId="3" borderId="0" xfId="0" applyFont="1" applyFill="1" applyAlignment="1">
      <alignment horizontal="left" vertical="center"/>
    </xf>
    <xf numFmtId="165" fontId="12" fillId="4" borderId="0" xfId="0" applyNumberFormat="1" applyFont="1" applyFill="1" applyAlignment="1">
      <alignment horizontal="center" vertical="center"/>
    </xf>
    <xf numFmtId="164" fontId="11" fillId="4" borderId="0" xfId="0" applyNumberFormat="1" applyFont="1" applyFill="1" applyAlignment="1">
      <alignment horizontal="center" vertical="center"/>
    </xf>
    <xf numFmtId="0" fontId="14" fillId="4" borderId="0" xfId="0" applyFont="1" applyFill="1" applyAlignment="1">
      <alignment horizontal="left" vertical="top" wrapText="1"/>
    </xf>
    <xf numFmtId="0" fontId="1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2F2F2"/>
      <rgbColor rgb="FFEB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C6B"/>
      <rgbColor rgb="FF339966"/>
      <rgbColor rgb="FF003300"/>
      <rgbColor rgb="FF333300"/>
      <rgbColor rgb="FF993300"/>
      <rgbColor rgb="FF993366"/>
      <rgbColor rgb="FF2E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showGridLines="0" tabSelected="1" zoomScaleNormal="100" workbookViewId="0">
      <pane ySplit="3" topLeftCell="A4" activePane="bottomLeft" state="frozen"/>
      <selection pane="bottomLeft" activeCell="A2" sqref="A2:E2"/>
    </sheetView>
  </sheetViews>
  <sheetFormatPr defaultColWidth="8.7109375" defaultRowHeight="15" x14ac:dyDescent="0.25"/>
  <cols>
    <col min="1" max="1" width="32" customWidth="1"/>
    <col min="2" max="5" width="16" customWidth="1"/>
  </cols>
  <sheetData>
    <row r="1" spans="1:5" ht="30" customHeight="1" x14ac:dyDescent="0.25">
      <c r="A1" s="6" t="s">
        <v>0</v>
      </c>
      <c r="B1" s="6"/>
      <c r="C1" s="6"/>
      <c r="D1" s="6"/>
      <c r="E1" s="6"/>
    </row>
    <row r="2" spans="1:5" ht="15" customHeight="1" x14ac:dyDescent="0.25">
      <c r="A2" s="5" t="s">
        <v>157</v>
      </c>
      <c r="B2" s="5"/>
      <c r="C2" s="5"/>
      <c r="D2" s="5"/>
      <c r="E2" s="5"/>
    </row>
    <row r="4" spans="1:5" ht="15" customHeight="1" x14ac:dyDescent="0.25">
      <c r="A4" s="4" t="s">
        <v>1</v>
      </c>
      <c r="B4" s="4"/>
      <c r="C4" s="4"/>
      <c r="D4" s="4"/>
      <c r="E4" s="4"/>
    </row>
    <row r="5" spans="1:5" ht="15" customHeight="1" x14ac:dyDescent="0.25">
      <c r="A5" s="7" t="s">
        <v>2</v>
      </c>
      <c r="B5" s="8">
        <f>'Trading Comps'!R19</f>
        <v>6.0778606965174129</v>
      </c>
      <c r="C5" s="3"/>
      <c r="D5" s="3"/>
      <c r="E5" s="3"/>
    </row>
    <row r="6" spans="1:5" ht="15" customHeight="1" x14ac:dyDescent="0.25">
      <c r="A6" s="7" t="s">
        <v>3</v>
      </c>
      <c r="B6" s="8">
        <f>'Trading Comps'!T19</f>
        <v>22.437665343915342</v>
      </c>
      <c r="C6" s="3"/>
      <c r="D6" s="3"/>
      <c r="E6" s="3"/>
    </row>
    <row r="7" spans="1:5" ht="15" customHeight="1" x14ac:dyDescent="0.25">
      <c r="A7" s="7" t="s">
        <v>4</v>
      </c>
      <c r="B7" s="8">
        <f>'Trading Comps'!R20</f>
        <v>7.1764848557932908</v>
      </c>
      <c r="C7" s="3"/>
      <c r="D7" s="3"/>
      <c r="E7" s="3"/>
    </row>
    <row r="8" spans="1:5" ht="15" customHeight="1" x14ac:dyDescent="0.25">
      <c r="A8" s="7" t="s">
        <v>5</v>
      </c>
      <c r="B8" s="8">
        <f>'Trading Comps'!T20</f>
        <v>24.59660440276874</v>
      </c>
      <c r="C8" s="3"/>
      <c r="D8" s="3"/>
      <c r="E8" s="3"/>
    </row>
    <row r="9" spans="1:5" ht="15" customHeight="1" x14ac:dyDescent="0.25">
      <c r="A9" s="7" t="s">
        <v>6</v>
      </c>
      <c r="B9" s="9">
        <f>'Trading Comps'!K19</f>
        <v>0</v>
      </c>
      <c r="C9" s="3"/>
      <c r="D9" s="3"/>
      <c r="E9" s="3"/>
    </row>
    <row r="10" spans="1:5" ht="15" customHeight="1" x14ac:dyDescent="0.25">
      <c r="A10" s="7" t="s">
        <v>7</v>
      </c>
      <c r="B10" s="9">
        <f>'Trading Comps'!N19</f>
        <v>0</v>
      </c>
      <c r="C10" s="3"/>
      <c r="D10" s="3"/>
      <c r="E10" s="3"/>
    </row>
    <row r="11" spans="1:5" ht="15" customHeight="1" x14ac:dyDescent="0.25">
      <c r="A11" s="7" t="s">
        <v>8</v>
      </c>
      <c r="B11" s="9">
        <f>'Trading Comps'!U19</f>
        <v>0.3715</v>
      </c>
      <c r="C11" s="3"/>
      <c r="D11" s="3"/>
      <c r="E11" s="3"/>
    </row>
    <row r="12" spans="1:5" ht="15" customHeight="1" x14ac:dyDescent="0.25">
      <c r="A12" s="7" t="s">
        <v>9</v>
      </c>
      <c r="B12" s="10" t="str">
        <f>'Trading Comps'!R17&amp;"x  →  "&amp;'Trading Comps'!R22&amp;"x"</f>
        <v>2.1219512195122x  →  14.9541984732824x</v>
      </c>
      <c r="C12" s="3"/>
      <c r="D12" s="3"/>
      <c r="E12" s="3"/>
    </row>
    <row r="14" spans="1:5" ht="15" customHeight="1" x14ac:dyDescent="0.25">
      <c r="A14" s="4" t="s">
        <v>10</v>
      </c>
      <c r="B14" s="4"/>
      <c r="C14" s="4"/>
      <c r="D14" s="4"/>
      <c r="E14" s="4"/>
    </row>
    <row r="15" spans="1:5" ht="15" customHeight="1" x14ac:dyDescent="0.25">
      <c r="A15" s="11" t="s">
        <v>11</v>
      </c>
      <c r="B15" s="5" t="s">
        <v>12</v>
      </c>
      <c r="C15" s="5"/>
      <c r="D15" s="5"/>
      <c r="E15" s="5"/>
    </row>
    <row r="16" spans="1:5" ht="15" customHeight="1" x14ac:dyDescent="0.25">
      <c r="A16" s="11" t="s">
        <v>13</v>
      </c>
      <c r="B16" s="5" t="s">
        <v>14</v>
      </c>
      <c r="C16" s="5"/>
      <c r="D16" s="5"/>
      <c r="E16" s="5"/>
    </row>
    <row r="17" spans="1:5" ht="15" customHeight="1" x14ac:dyDescent="0.25">
      <c r="A17" s="11" t="s">
        <v>15</v>
      </c>
      <c r="B17" s="5" t="s">
        <v>16</v>
      </c>
      <c r="C17" s="5"/>
      <c r="D17" s="5"/>
      <c r="E17" s="5"/>
    </row>
    <row r="20" spans="1:5" ht="15" customHeight="1" x14ac:dyDescent="0.25">
      <c r="A20" s="4" t="s">
        <v>17</v>
      </c>
      <c r="B20" s="4"/>
      <c r="C20" s="4"/>
      <c r="D20" s="4"/>
      <c r="E20" s="4"/>
    </row>
    <row r="21" spans="1:5" ht="15" customHeight="1" x14ac:dyDescent="0.25">
      <c r="A21" s="5" t="s">
        <v>18</v>
      </c>
      <c r="B21" s="5"/>
      <c r="C21" s="5"/>
      <c r="D21" s="5"/>
      <c r="E21" s="5"/>
    </row>
    <row r="22" spans="1:5" ht="15" customHeight="1" x14ac:dyDescent="0.25">
      <c r="A22" s="5" t="s">
        <v>19</v>
      </c>
      <c r="B22" s="5"/>
      <c r="C22" s="5"/>
      <c r="D22" s="5"/>
      <c r="E22" s="5"/>
    </row>
    <row r="23" spans="1:5" ht="15" customHeight="1" x14ac:dyDescent="0.25">
      <c r="A23" s="5" t="s">
        <v>20</v>
      </c>
      <c r="B23" s="5"/>
      <c r="C23" s="5"/>
      <c r="D23" s="5"/>
      <c r="E23" s="5"/>
    </row>
    <row r="24" spans="1:5" ht="15" customHeight="1" x14ac:dyDescent="0.25">
      <c r="A24" s="5" t="s">
        <v>21</v>
      </c>
      <c r="B24" s="5"/>
      <c r="C24" s="5"/>
      <c r="D24" s="5"/>
      <c r="E24" s="5"/>
    </row>
    <row r="25" spans="1:5" ht="15" customHeight="1" x14ac:dyDescent="0.25">
      <c r="A25" s="5" t="s">
        <v>22</v>
      </c>
      <c r="B25" s="5"/>
      <c r="C25" s="5"/>
      <c r="D25" s="5"/>
      <c r="E25" s="5"/>
    </row>
  </sheetData>
  <mergeCells count="21">
    <mergeCell ref="A25:E25"/>
    <mergeCell ref="A20:E20"/>
    <mergeCell ref="A21:E21"/>
    <mergeCell ref="A22:E22"/>
    <mergeCell ref="A23:E23"/>
    <mergeCell ref="A24:E24"/>
    <mergeCell ref="C12:E12"/>
    <mergeCell ref="A14:E14"/>
    <mergeCell ref="B15:E15"/>
    <mergeCell ref="B16:E16"/>
    <mergeCell ref="B17:E17"/>
    <mergeCell ref="C7:E7"/>
    <mergeCell ref="C8:E8"/>
    <mergeCell ref="C9:E9"/>
    <mergeCell ref="C10:E10"/>
    <mergeCell ref="C11:E11"/>
    <mergeCell ref="A1:E1"/>
    <mergeCell ref="A2:E2"/>
    <mergeCell ref="A4:E4"/>
    <mergeCell ref="C5:E5"/>
    <mergeCell ref="C6:E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showGridLines="0" zoomScaleNormal="100" workbookViewId="0">
      <pane xSplit="5" ySplit="5" topLeftCell="F42" activePane="bottomRight" state="frozen"/>
      <selection pane="topRight" activeCell="F1" sqref="F1"/>
      <selection pane="bottomLeft" activeCell="A6" sqref="A6"/>
      <selection pane="bottomRight" activeCell="W8" sqref="W8"/>
    </sheetView>
  </sheetViews>
  <sheetFormatPr defaultColWidth="8.7109375" defaultRowHeight="15" x14ac:dyDescent="0.25"/>
  <cols>
    <col min="1" max="1" width="26.28515625" bestFit="1" customWidth="1"/>
    <col min="2" max="2" width="13.85546875" bestFit="1" customWidth="1"/>
    <col min="3" max="3" width="12.85546875" bestFit="1" customWidth="1"/>
    <col min="4" max="4" width="16.140625" bestFit="1" customWidth="1"/>
    <col min="5" max="5" width="20.7109375" bestFit="1" customWidth="1"/>
    <col min="6" max="6" width="19.7109375" bestFit="1" customWidth="1"/>
    <col min="7" max="7" width="7.5703125" bestFit="1" customWidth="1"/>
    <col min="8" max="8" width="5.42578125" bestFit="1" customWidth="1"/>
    <col min="9" max="11" width="7.7109375" bestFit="1" customWidth="1"/>
    <col min="12" max="12" width="6.42578125" bestFit="1" customWidth="1"/>
    <col min="13" max="13" width="11" customWidth="1"/>
    <col min="14" max="14" width="10.28515625" bestFit="1" customWidth="1"/>
    <col min="15" max="16" width="4.42578125" bestFit="1" customWidth="1"/>
    <col min="17" max="17" width="7.7109375" bestFit="1" customWidth="1"/>
    <col min="18" max="21" width="11" customWidth="1"/>
  </cols>
  <sheetData>
    <row r="1" spans="1:21" ht="25.5" customHeight="1" x14ac:dyDescent="0.25">
      <c r="A1" s="6" t="s">
        <v>23</v>
      </c>
      <c r="B1" s="6"/>
      <c r="C1" s="6"/>
      <c r="D1" s="6"/>
      <c r="E1" s="6"/>
      <c r="F1" s="6"/>
      <c r="G1" s="6"/>
      <c r="H1" s="6"/>
      <c r="I1" s="6"/>
      <c r="J1" s="6"/>
      <c r="K1" s="6"/>
      <c r="L1" s="6"/>
      <c r="M1" s="6"/>
      <c r="N1" s="6"/>
      <c r="O1" s="6"/>
      <c r="P1" s="6"/>
      <c r="Q1" s="6"/>
      <c r="R1" s="6"/>
      <c r="S1" s="6"/>
      <c r="T1" s="6"/>
      <c r="U1" s="6"/>
    </row>
    <row r="2" spans="1:21" ht="15" customHeight="1" x14ac:dyDescent="0.25">
      <c r="A2" s="5" t="s">
        <v>158</v>
      </c>
      <c r="B2" s="5"/>
      <c r="C2" s="5"/>
      <c r="D2" s="5"/>
      <c r="E2" s="5"/>
      <c r="F2" s="5"/>
      <c r="G2" s="5"/>
      <c r="H2" s="5"/>
      <c r="I2" s="5"/>
      <c r="J2" s="5"/>
      <c r="K2" s="5"/>
      <c r="L2" s="5"/>
      <c r="M2" s="5"/>
      <c r="N2" s="5"/>
      <c r="O2" s="5"/>
      <c r="P2" s="5"/>
      <c r="Q2" s="5"/>
      <c r="R2" s="5"/>
      <c r="S2" s="5"/>
      <c r="T2" s="5"/>
      <c r="U2" s="5"/>
    </row>
    <row r="3" spans="1:21" ht="15" customHeight="1" x14ac:dyDescent="0.25">
      <c r="A3" s="2" t="s">
        <v>24</v>
      </c>
      <c r="B3" s="2"/>
      <c r="C3" s="2"/>
      <c r="D3" s="2"/>
      <c r="E3" s="2"/>
      <c r="F3" s="2"/>
      <c r="G3" s="2"/>
      <c r="H3" s="2"/>
      <c r="I3" s="2"/>
      <c r="J3" s="2"/>
      <c r="K3" s="2"/>
      <c r="L3" s="2"/>
      <c r="M3" s="2"/>
      <c r="N3" s="2"/>
      <c r="O3" s="2"/>
      <c r="P3" s="2"/>
      <c r="Q3" s="2"/>
      <c r="R3" s="2"/>
      <c r="S3" s="2"/>
      <c r="T3" s="2"/>
      <c r="U3" s="2"/>
    </row>
    <row r="5" spans="1:21" ht="30" customHeight="1" x14ac:dyDescent="0.25">
      <c r="A5" s="12" t="s">
        <v>25</v>
      </c>
      <c r="B5" s="12" t="s">
        <v>26</v>
      </c>
      <c r="C5" s="12" t="s">
        <v>27</v>
      </c>
      <c r="D5" s="12" t="s">
        <v>28</v>
      </c>
      <c r="E5" s="12" t="s">
        <v>29</v>
      </c>
      <c r="F5" s="13" t="s">
        <v>30</v>
      </c>
      <c r="G5" s="13" t="s">
        <v>31</v>
      </c>
      <c r="H5" s="13" t="s">
        <v>32</v>
      </c>
      <c r="I5" s="13" t="s">
        <v>33</v>
      </c>
      <c r="J5" s="13" t="s">
        <v>34</v>
      </c>
      <c r="K5" s="13" t="s">
        <v>35</v>
      </c>
      <c r="L5" s="13" t="s">
        <v>36</v>
      </c>
      <c r="M5" s="13" t="s">
        <v>37</v>
      </c>
      <c r="N5" s="13" t="s">
        <v>38</v>
      </c>
      <c r="O5" s="13" t="s">
        <v>39</v>
      </c>
      <c r="P5" s="13" t="s">
        <v>40</v>
      </c>
      <c r="Q5" s="14" t="s">
        <v>41</v>
      </c>
      <c r="R5" s="14" t="s">
        <v>42</v>
      </c>
      <c r="S5" s="14" t="s">
        <v>43</v>
      </c>
      <c r="T5" s="14" t="s">
        <v>44</v>
      </c>
      <c r="U5" s="14" t="s">
        <v>45</v>
      </c>
    </row>
    <row r="6" spans="1:21" ht="15" customHeight="1" x14ac:dyDescent="0.25">
      <c r="A6" s="15" t="s">
        <v>46</v>
      </c>
      <c r="B6" s="16" t="s">
        <v>47</v>
      </c>
      <c r="C6" s="16" t="s">
        <v>48</v>
      </c>
      <c r="D6" s="17" t="s">
        <v>49</v>
      </c>
      <c r="E6" s="18" t="s">
        <v>50</v>
      </c>
      <c r="F6" s="19">
        <v>248</v>
      </c>
      <c r="G6" s="19">
        <v>3.2</v>
      </c>
      <c r="H6" s="19">
        <v>251.2</v>
      </c>
      <c r="I6" s="20">
        <v>36</v>
      </c>
      <c r="J6" s="20">
        <v>38.1</v>
      </c>
      <c r="K6" s="21">
        <v>5.8000000000000003E-2</v>
      </c>
      <c r="L6" s="20">
        <v>9.5</v>
      </c>
      <c r="M6" s="20">
        <v>10.8</v>
      </c>
      <c r="N6" s="21">
        <v>0.28399999999999997</v>
      </c>
      <c r="O6" s="20">
        <v>7.1</v>
      </c>
      <c r="P6" s="20">
        <v>8.1999999999999993</v>
      </c>
      <c r="Q6" s="22">
        <f t="shared" ref="Q6:Q15" si="0">H6/I6</f>
        <v>6.9777777777777779</v>
      </c>
      <c r="R6" s="22">
        <f t="shared" ref="R6:R15" si="1">H6/J6</f>
        <v>6.5931758530183719</v>
      </c>
      <c r="S6" s="22">
        <f t="shared" ref="S6:S15" si="2">H6/L6</f>
        <v>26.442105263157895</v>
      </c>
      <c r="T6" s="22">
        <f t="shared" ref="T6:T15" si="3">H6/M6</f>
        <v>23.259259259259256</v>
      </c>
      <c r="U6" s="23">
        <f t="shared" ref="U6:U15" si="4">K6+N6</f>
        <v>0.34199999999999997</v>
      </c>
    </row>
    <row r="7" spans="1:21" ht="15" customHeight="1" x14ac:dyDescent="0.25">
      <c r="A7" s="24" t="s">
        <v>51</v>
      </c>
      <c r="B7" s="25" t="s">
        <v>52</v>
      </c>
      <c r="C7" s="25" t="s">
        <v>48</v>
      </c>
      <c r="D7" s="26" t="s">
        <v>53</v>
      </c>
      <c r="E7" s="27" t="s">
        <v>54</v>
      </c>
      <c r="F7" s="28">
        <v>198</v>
      </c>
      <c r="G7" s="28">
        <v>-2.1</v>
      </c>
      <c r="H7" s="28">
        <v>195.9</v>
      </c>
      <c r="I7" s="29">
        <v>10.9</v>
      </c>
      <c r="J7" s="29">
        <v>13.1</v>
      </c>
      <c r="K7" s="30">
        <v>0.20200000000000001</v>
      </c>
      <c r="L7" s="29">
        <v>3.8</v>
      </c>
      <c r="M7" s="29">
        <v>4.9000000000000004</v>
      </c>
      <c r="N7" s="30">
        <v>0.374</v>
      </c>
      <c r="O7" s="29">
        <v>2.9</v>
      </c>
      <c r="P7" s="29">
        <v>3.8</v>
      </c>
      <c r="Q7" s="31">
        <f t="shared" si="0"/>
        <v>17.972477064220183</v>
      </c>
      <c r="R7" s="31">
        <f t="shared" si="1"/>
        <v>14.954198473282444</v>
      </c>
      <c r="S7" s="31">
        <f t="shared" si="2"/>
        <v>51.55263157894737</v>
      </c>
      <c r="T7" s="31">
        <f t="shared" si="3"/>
        <v>39.979591836734691</v>
      </c>
      <c r="U7" s="32">
        <f t="shared" si="4"/>
        <v>0.57600000000000007</v>
      </c>
    </row>
    <row r="8" spans="1:21" ht="15" customHeight="1" x14ac:dyDescent="0.25">
      <c r="A8" s="15" t="s">
        <v>55</v>
      </c>
      <c r="B8" s="16" t="s">
        <v>56</v>
      </c>
      <c r="C8" s="16" t="s">
        <v>57</v>
      </c>
      <c r="D8" s="17" t="s">
        <v>58</v>
      </c>
      <c r="E8" s="18" t="s">
        <v>59</v>
      </c>
      <c r="F8" s="19">
        <v>58</v>
      </c>
      <c r="G8" s="19">
        <v>-2.8</v>
      </c>
      <c r="H8" s="19">
        <v>55.2</v>
      </c>
      <c r="I8" s="20">
        <v>8</v>
      </c>
      <c r="J8" s="20">
        <v>9</v>
      </c>
      <c r="K8" s="21">
        <v>0.125</v>
      </c>
      <c r="L8" s="20">
        <v>1.8</v>
      </c>
      <c r="M8" s="20">
        <v>2.2999999999999998</v>
      </c>
      <c r="N8" s="21">
        <v>0.25600000000000001</v>
      </c>
      <c r="O8" s="20">
        <v>1.1000000000000001</v>
      </c>
      <c r="P8" s="20">
        <v>1.6</v>
      </c>
      <c r="Q8" s="22">
        <f t="shared" si="0"/>
        <v>6.9</v>
      </c>
      <c r="R8" s="22">
        <f t="shared" si="1"/>
        <v>6.1333333333333337</v>
      </c>
      <c r="S8" s="22">
        <f t="shared" si="2"/>
        <v>30.666666666666668</v>
      </c>
      <c r="T8" s="22">
        <f t="shared" si="3"/>
        <v>24.000000000000004</v>
      </c>
      <c r="U8" s="23">
        <f t="shared" si="4"/>
        <v>0.38100000000000001</v>
      </c>
    </row>
    <row r="9" spans="1:21" ht="15" customHeight="1" x14ac:dyDescent="0.25">
      <c r="A9" s="24" t="s">
        <v>60</v>
      </c>
      <c r="B9" s="25" t="s">
        <v>61</v>
      </c>
      <c r="C9" s="25" t="s">
        <v>48</v>
      </c>
      <c r="D9" s="26" t="s">
        <v>62</v>
      </c>
      <c r="E9" s="27" t="s">
        <v>63</v>
      </c>
      <c r="F9" s="28">
        <v>238</v>
      </c>
      <c r="G9" s="28">
        <v>4.0999999999999996</v>
      </c>
      <c r="H9" s="28">
        <v>242.1</v>
      </c>
      <c r="I9" s="29">
        <v>37</v>
      </c>
      <c r="J9" s="29">
        <v>40.200000000000003</v>
      </c>
      <c r="K9" s="30">
        <v>8.5999999999999993E-2</v>
      </c>
      <c r="L9" s="29">
        <v>8.9</v>
      </c>
      <c r="M9" s="29">
        <v>11.2</v>
      </c>
      <c r="N9" s="30">
        <v>0.27900000000000003</v>
      </c>
      <c r="O9" s="29">
        <v>6.8</v>
      </c>
      <c r="P9" s="29">
        <v>9.1</v>
      </c>
      <c r="Q9" s="31">
        <f t="shared" si="0"/>
        <v>6.5432432432432428</v>
      </c>
      <c r="R9" s="31">
        <f t="shared" si="1"/>
        <v>6.022388059701492</v>
      </c>
      <c r="S9" s="31">
        <f t="shared" si="2"/>
        <v>27.202247191011235</v>
      </c>
      <c r="T9" s="31">
        <f t="shared" si="3"/>
        <v>21.616071428571431</v>
      </c>
      <c r="U9" s="32">
        <f t="shared" si="4"/>
        <v>0.36499999999999999</v>
      </c>
    </row>
    <row r="10" spans="1:21" ht="15" customHeight="1" x14ac:dyDescent="0.25">
      <c r="A10" s="15" t="s">
        <v>64</v>
      </c>
      <c r="B10" s="16" t="s">
        <v>65</v>
      </c>
      <c r="C10" s="16" t="s">
        <v>66</v>
      </c>
      <c r="D10" s="17" t="s">
        <v>67</v>
      </c>
      <c r="E10" s="18" t="s">
        <v>68</v>
      </c>
      <c r="F10" s="19">
        <v>11.2</v>
      </c>
      <c r="G10" s="19">
        <v>0.4</v>
      </c>
      <c r="H10" s="19">
        <v>11.6</v>
      </c>
      <c r="I10" s="20">
        <v>2.37</v>
      </c>
      <c r="J10" s="20">
        <v>2.58</v>
      </c>
      <c r="K10" s="21">
        <v>8.8999999999999996E-2</v>
      </c>
      <c r="L10" s="20">
        <v>0.62</v>
      </c>
      <c r="M10" s="20">
        <v>0.71</v>
      </c>
      <c r="N10" s="21">
        <v>0.27500000000000002</v>
      </c>
      <c r="O10" s="20">
        <v>0.49</v>
      </c>
      <c r="P10" s="20">
        <v>0.56999999999999995</v>
      </c>
      <c r="Q10" s="22">
        <f t="shared" si="0"/>
        <v>4.8945147679324892</v>
      </c>
      <c r="R10" s="22">
        <f t="shared" si="1"/>
        <v>4.4961240310077519</v>
      </c>
      <c r="S10" s="22">
        <f t="shared" si="2"/>
        <v>18.70967741935484</v>
      </c>
      <c r="T10" s="22">
        <f t="shared" si="3"/>
        <v>16.338028169014084</v>
      </c>
      <c r="U10" s="23">
        <f t="shared" si="4"/>
        <v>0.36399999999999999</v>
      </c>
    </row>
    <row r="11" spans="1:21" ht="15" customHeight="1" x14ac:dyDescent="0.25">
      <c r="A11" s="24" t="s">
        <v>69</v>
      </c>
      <c r="B11" s="25" t="s">
        <v>70</v>
      </c>
      <c r="C11" s="25" t="s">
        <v>66</v>
      </c>
      <c r="D11" s="26" t="s">
        <v>71</v>
      </c>
      <c r="E11" s="27" t="s">
        <v>72</v>
      </c>
      <c r="F11" s="28">
        <v>1.05</v>
      </c>
      <c r="G11" s="28">
        <v>-0.18</v>
      </c>
      <c r="H11" s="28">
        <v>0.87</v>
      </c>
      <c r="I11" s="29">
        <v>0.38200000000000001</v>
      </c>
      <c r="J11" s="29">
        <v>0.41</v>
      </c>
      <c r="K11" s="30">
        <v>7.3999999999999996E-2</v>
      </c>
      <c r="L11" s="29">
        <v>8.2000000000000003E-2</v>
      </c>
      <c r="M11" s="29">
        <v>9.1999999999999998E-2</v>
      </c>
      <c r="N11" s="30">
        <v>0.224</v>
      </c>
      <c r="O11" s="29">
        <v>7.0999999999999994E-2</v>
      </c>
      <c r="P11" s="29">
        <v>0.08</v>
      </c>
      <c r="Q11" s="31">
        <f t="shared" si="0"/>
        <v>2.2774869109947642</v>
      </c>
      <c r="R11" s="31">
        <f t="shared" si="1"/>
        <v>2.1219512195121952</v>
      </c>
      <c r="S11" s="31">
        <f t="shared" si="2"/>
        <v>10.609756097560975</v>
      </c>
      <c r="T11" s="31">
        <f t="shared" si="3"/>
        <v>9.4565217391304355</v>
      </c>
      <c r="U11" s="32">
        <f t="shared" si="4"/>
        <v>0.29799999999999999</v>
      </c>
    </row>
    <row r="12" spans="1:21" ht="15" customHeight="1" x14ac:dyDescent="0.25">
      <c r="A12" s="15" t="s">
        <v>73</v>
      </c>
      <c r="B12" s="16" t="s">
        <v>74</v>
      </c>
      <c r="C12" s="16" t="s">
        <v>75</v>
      </c>
      <c r="D12" s="17" t="s">
        <v>76</v>
      </c>
      <c r="E12" s="18" t="s">
        <v>77</v>
      </c>
      <c r="F12" s="19">
        <v>3.8</v>
      </c>
      <c r="G12" s="19">
        <v>0.9</v>
      </c>
      <c r="H12" s="19">
        <v>4.7</v>
      </c>
      <c r="I12" s="20">
        <v>0.89</v>
      </c>
      <c r="J12" s="20">
        <v>0.94</v>
      </c>
      <c r="K12" s="21">
        <v>5.6000000000000001E-2</v>
      </c>
      <c r="L12" s="20">
        <v>0.28999999999999998</v>
      </c>
      <c r="M12" s="20">
        <v>0.33</v>
      </c>
      <c r="N12" s="21">
        <v>0.35099999999999998</v>
      </c>
      <c r="O12" s="20">
        <v>0.22</v>
      </c>
      <c r="P12" s="20">
        <v>0.26</v>
      </c>
      <c r="Q12" s="22">
        <f t="shared" si="0"/>
        <v>5.2808988764044944</v>
      </c>
      <c r="R12" s="22">
        <f t="shared" si="1"/>
        <v>5.0000000000000009</v>
      </c>
      <c r="S12" s="22">
        <f t="shared" si="2"/>
        <v>16.206896551724139</v>
      </c>
      <c r="T12" s="22">
        <f t="shared" si="3"/>
        <v>14.242424242424242</v>
      </c>
      <c r="U12" s="23">
        <f t="shared" si="4"/>
        <v>0.40699999999999997</v>
      </c>
    </row>
    <row r="13" spans="1:21" ht="15" customHeight="1" x14ac:dyDescent="0.25">
      <c r="A13" s="24" t="s">
        <v>78</v>
      </c>
      <c r="B13" s="25" t="s">
        <v>79</v>
      </c>
      <c r="C13" s="25" t="s">
        <v>48</v>
      </c>
      <c r="D13" s="26" t="s">
        <v>58</v>
      </c>
      <c r="E13" s="27" t="s">
        <v>80</v>
      </c>
      <c r="F13" s="28">
        <v>38</v>
      </c>
      <c r="G13" s="28">
        <v>-2.2000000000000002</v>
      </c>
      <c r="H13" s="28">
        <v>35.799999999999997</v>
      </c>
      <c r="I13" s="29">
        <v>2.76</v>
      </c>
      <c r="J13" s="29">
        <v>3.05</v>
      </c>
      <c r="K13" s="30">
        <v>0.105</v>
      </c>
      <c r="L13" s="29">
        <v>1.08</v>
      </c>
      <c r="M13" s="29">
        <v>1.22</v>
      </c>
      <c r="N13" s="30">
        <v>0.4</v>
      </c>
      <c r="O13" s="29">
        <v>0.94</v>
      </c>
      <c r="P13" s="29">
        <v>1.07</v>
      </c>
      <c r="Q13" s="31">
        <f t="shared" si="0"/>
        <v>12.971014492753623</v>
      </c>
      <c r="R13" s="31">
        <f t="shared" si="1"/>
        <v>11.737704918032787</v>
      </c>
      <c r="S13" s="31">
        <f t="shared" si="2"/>
        <v>33.148148148148145</v>
      </c>
      <c r="T13" s="31">
        <f t="shared" si="3"/>
        <v>29.344262295081965</v>
      </c>
      <c r="U13" s="32">
        <f t="shared" si="4"/>
        <v>0.505</v>
      </c>
    </row>
    <row r="14" spans="1:21" ht="15" customHeight="1" x14ac:dyDescent="0.25">
      <c r="A14" s="15" t="s">
        <v>81</v>
      </c>
      <c r="B14" s="16" t="s">
        <v>82</v>
      </c>
      <c r="C14" s="16" t="s">
        <v>48</v>
      </c>
      <c r="D14" s="17" t="s">
        <v>83</v>
      </c>
      <c r="E14" s="18" t="s">
        <v>84</v>
      </c>
      <c r="F14" s="19">
        <v>28</v>
      </c>
      <c r="G14" s="19">
        <v>-0.8</v>
      </c>
      <c r="H14" s="19">
        <v>27.2</v>
      </c>
      <c r="I14" s="20">
        <v>2.63</v>
      </c>
      <c r="J14" s="20">
        <v>3.12</v>
      </c>
      <c r="K14" s="21">
        <v>0.186</v>
      </c>
      <c r="L14" s="20">
        <v>0.42</v>
      </c>
      <c r="M14" s="20">
        <v>0.57999999999999996</v>
      </c>
      <c r="N14" s="21">
        <v>0.186</v>
      </c>
      <c r="O14" s="20">
        <v>0.18</v>
      </c>
      <c r="P14" s="20">
        <v>0.31</v>
      </c>
      <c r="Q14" s="22">
        <f t="shared" si="0"/>
        <v>10.342205323193916</v>
      </c>
      <c r="R14" s="22">
        <f t="shared" si="1"/>
        <v>8.7179487179487172</v>
      </c>
      <c r="S14" s="22">
        <f t="shared" si="2"/>
        <v>64.761904761904759</v>
      </c>
      <c r="T14" s="22">
        <f t="shared" si="3"/>
        <v>46.896551724137936</v>
      </c>
      <c r="U14" s="23">
        <f t="shared" si="4"/>
        <v>0.372</v>
      </c>
    </row>
    <row r="15" spans="1:21" ht="15" customHeight="1" x14ac:dyDescent="0.25">
      <c r="A15" s="24" t="s">
        <v>85</v>
      </c>
      <c r="B15" s="25" t="s">
        <v>86</v>
      </c>
      <c r="C15" s="25" t="s">
        <v>66</v>
      </c>
      <c r="D15" s="26" t="s">
        <v>87</v>
      </c>
      <c r="E15" s="27" t="s">
        <v>88</v>
      </c>
      <c r="F15" s="28">
        <v>9.8000000000000007</v>
      </c>
      <c r="G15" s="28">
        <v>0.2</v>
      </c>
      <c r="H15" s="28">
        <v>10</v>
      </c>
      <c r="I15" s="29">
        <v>1.54</v>
      </c>
      <c r="J15" s="29">
        <v>1.67</v>
      </c>
      <c r="K15" s="30">
        <v>8.4000000000000005E-2</v>
      </c>
      <c r="L15" s="29">
        <v>0.41</v>
      </c>
      <c r="M15" s="29">
        <v>0.48</v>
      </c>
      <c r="N15" s="30">
        <v>0.28699999999999998</v>
      </c>
      <c r="O15" s="29">
        <v>0.32</v>
      </c>
      <c r="P15" s="29">
        <v>0.39</v>
      </c>
      <c r="Q15" s="31">
        <f t="shared" si="0"/>
        <v>6.4935064935064934</v>
      </c>
      <c r="R15" s="31">
        <f t="shared" si="1"/>
        <v>5.9880239520958085</v>
      </c>
      <c r="S15" s="31">
        <f t="shared" si="2"/>
        <v>24.390243902439025</v>
      </c>
      <c r="T15" s="31">
        <f t="shared" si="3"/>
        <v>20.833333333333336</v>
      </c>
      <c r="U15" s="32">
        <f t="shared" si="4"/>
        <v>0.371</v>
      </c>
    </row>
    <row r="17" spans="1:21" ht="15" customHeight="1" x14ac:dyDescent="0.25">
      <c r="A17" s="33" t="s">
        <v>89</v>
      </c>
      <c r="B17" s="34"/>
      <c r="C17" s="34"/>
      <c r="D17" s="34"/>
      <c r="E17" s="34"/>
      <c r="F17" s="34"/>
      <c r="G17" s="34"/>
      <c r="H17" s="34"/>
      <c r="I17" s="34"/>
      <c r="J17" s="34"/>
      <c r="K17" s="34"/>
      <c r="L17" s="34"/>
      <c r="M17" s="34"/>
      <c r="N17" s="34"/>
      <c r="O17" s="34"/>
      <c r="P17" s="34"/>
      <c r="Q17" s="22">
        <f>MIN(Q6:Q15)</f>
        <v>2.2774869109947642</v>
      </c>
      <c r="R17" s="22">
        <f>MIN(R6:R15)</f>
        <v>2.1219512195121952</v>
      </c>
      <c r="S17" s="22">
        <f>MIN(S6:S15)</f>
        <v>10.609756097560975</v>
      </c>
      <c r="T17" s="22">
        <f>MIN(T6:T15)</f>
        <v>9.4565217391304355</v>
      </c>
      <c r="U17" s="23">
        <f>MIN(U6:U15)</f>
        <v>0.29799999999999999</v>
      </c>
    </row>
    <row r="18" spans="1:21" ht="15" customHeight="1" x14ac:dyDescent="0.25">
      <c r="A18" s="33" t="s">
        <v>90</v>
      </c>
      <c r="B18" s="34"/>
      <c r="C18" s="34"/>
      <c r="D18" s="34"/>
      <c r="E18" s="34"/>
      <c r="F18" s="34"/>
      <c r="G18" s="34"/>
      <c r="H18" s="34"/>
      <c r="I18" s="34"/>
      <c r="J18" s="34"/>
      <c r="K18" s="34"/>
      <c r="L18" s="34"/>
      <c r="M18" s="34"/>
      <c r="N18" s="34"/>
      <c r="O18" s="34"/>
      <c r="P18" s="34"/>
      <c r="Q18" s="22">
        <f>PERCENTILE(Q6:Q15,0.25)</f>
        <v>5.5840507806799939</v>
      </c>
      <c r="R18" s="22">
        <f>PERCENTILE(R6:R15,0.25)</f>
        <v>5.247005988023953</v>
      </c>
      <c r="S18" s="22">
        <f>PERCENTILE(S6:S15,0.25)</f>
        <v>20.129819040125888</v>
      </c>
      <c r="T18" s="22">
        <f>PERCENTILE(T6:T15,0.25)</f>
        <v>17.461854460093896</v>
      </c>
      <c r="U18" s="23">
        <f>PERCENTILE(U6:U15,0.25)</f>
        <v>0.36424999999999996</v>
      </c>
    </row>
    <row r="19" spans="1:21" ht="15" customHeight="1" x14ac:dyDescent="0.25">
      <c r="A19" s="35" t="s">
        <v>91</v>
      </c>
      <c r="B19" s="36"/>
      <c r="C19" s="36"/>
      <c r="D19" s="36"/>
      <c r="E19" s="36"/>
      <c r="F19" s="36"/>
      <c r="G19" s="36"/>
      <c r="H19" s="36"/>
      <c r="I19" s="36"/>
      <c r="J19" s="36"/>
      <c r="K19" s="36"/>
      <c r="L19" s="36"/>
      <c r="M19" s="36"/>
      <c r="N19" s="36"/>
      <c r="O19" s="36"/>
      <c r="P19" s="36"/>
      <c r="Q19" s="37">
        <f>MEDIAN(Q6:Q15)</f>
        <v>6.7216216216216216</v>
      </c>
      <c r="R19" s="37">
        <f>MEDIAN(R6:R15)</f>
        <v>6.0778606965174129</v>
      </c>
      <c r="S19" s="37">
        <f>MEDIAN(S6:S15)</f>
        <v>26.822176227084565</v>
      </c>
      <c r="T19" s="37">
        <f>MEDIAN(T6:T15)</f>
        <v>22.437665343915342</v>
      </c>
      <c r="U19" s="38">
        <f>MEDIAN(U6:U15)</f>
        <v>0.3715</v>
      </c>
    </row>
    <row r="20" spans="1:21" ht="15" customHeight="1" x14ac:dyDescent="0.25">
      <c r="A20" s="35" t="s">
        <v>92</v>
      </c>
      <c r="B20" s="36"/>
      <c r="C20" s="36"/>
      <c r="D20" s="36"/>
      <c r="E20" s="36"/>
      <c r="F20" s="36"/>
      <c r="G20" s="36"/>
      <c r="H20" s="36"/>
      <c r="I20" s="36"/>
      <c r="J20" s="36"/>
      <c r="K20" s="36"/>
      <c r="L20" s="36"/>
      <c r="M20" s="36"/>
      <c r="N20" s="36"/>
      <c r="O20" s="36"/>
      <c r="P20" s="36"/>
      <c r="Q20" s="37">
        <f>AVERAGE(Q6:Q15)</f>
        <v>8.0653124950026971</v>
      </c>
      <c r="R20" s="37">
        <f>AVERAGE(R6:R15)</f>
        <v>7.1764848557932908</v>
      </c>
      <c r="S20" s="37">
        <f>AVERAGE(S6:S15)</f>
        <v>30.369027758091505</v>
      </c>
      <c r="T20" s="37">
        <f>AVERAGE(T6:T15)</f>
        <v>24.59660440276874</v>
      </c>
      <c r="U20" s="38">
        <f>AVERAGE(U6:U15)</f>
        <v>0.39810000000000001</v>
      </c>
    </row>
    <row r="21" spans="1:21" ht="15" customHeight="1" x14ac:dyDescent="0.25">
      <c r="A21" s="33" t="s">
        <v>93</v>
      </c>
      <c r="B21" s="34"/>
      <c r="C21" s="34"/>
      <c r="D21" s="34"/>
      <c r="E21" s="34"/>
      <c r="F21" s="34"/>
      <c r="G21" s="34"/>
      <c r="H21" s="34"/>
      <c r="I21" s="34"/>
      <c r="J21" s="34"/>
      <c r="K21" s="34"/>
      <c r="L21" s="34"/>
      <c r="M21" s="34"/>
      <c r="N21" s="34"/>
      <c r="O21" s="34"/>
      <c r="P21" s="34"/>
      <c r="Q21" s="22">
        <f>PERCENTILE(Q6:Q15,0.75)</f>
        <v>9.5010984368398823</v>
      </c>
      <c r="R21" s="22">
        <f>PERCENTILE(R6:R15,0.75)</f>
        <v>8.1867555017161315</v>
      </c>
      <c r="S21" s="22">
        <f>PERCENTILE(S6:S15,0.75)</f>
        <v>32.527777777777779</v>
      </c>
      <c r="T21" s="22">
        <f>PERCENTILE(T6:T15,0.75)</f>
        <v>28.008196721311474</v>
      </c>
      <c r="U21" s="23">
        <f>PERCENTILE(U6:U15,0.75)</f>
        <v>0.40049999999999997</v>
      </c>
    </row>
    <row r="22" spans="1:21" ht="15" customHeight="1" x14ac:dyDescent="0.25">
      <c r="A22" s="33" t="s">
        <v>94</v>
      </c>
      <c r="B22" s="34"/>
      <c r="C22" s="34"/>
      <c r="D22" s="34"/>
      <c r="E22" s="34"/>
      <c r="F22" s="34"/>
      <c r="G22" s="34"/>
      <c r="H22" s="34"/>
      <c r="I22" s="34"/>
      <c r="J22" s="34"/>
      <c r="K22" s="34"/>
      <c r="L22" s="34"/>
      <c r="M22" s="34"/>
      <c r="N22" s="34"/>
      <c r="O22" s="34"/>
      <c r="P22" s="34"/>
      <c r="Q22" s="22">
        <f>MAX(Q6:Q15)</f>
        <v>17.972477064220183</v>
      </c>
      <c r="R22" s="22">
        <f>MAX(R6:R15)</f>
        <v>14.954198473282444</v>
      </c>
      <c r="S22" s="22">
        <f>MAX(S6:S15)</f>
        <v>64.761904761904759</v>
      </c>
      <c r="T22" s="22">
        <f>MAX(T6:T15)</f>
        <v>46.896551724137936</v>
      </c>
      <c r="U22" s="23">
        <f>MAX(U6:U15)</f>
        <v>0.57600000000000007</v>
      </c>
    </row>
    <row r="25" spans="1:21" ht="15" customHeight="1" x14ac:dyDescent="0.25">
      <c r="A25" s="4" t="s">
        <v>95</v>
      </c>
      <c r="B25" s="4"/>
      <c r="C25" s="4"/>
      <c r="D25" s="4"/>
      <c r="E25" s="4"/>
      <c r="F25" s="4"/>
      <c r="G25" s="4"/>
      <c r="H25" s="4"/>
      <c r="I25" s="4"/>
      <c r="J25" s="4"/>
      <c r="K25" s="4"/>
      <c r="L25" s="4"/>
      <c r="M25" s="4"/>
      <c r="N25" s="4"/>
      <c r="O25" s="4"/>
      <c r="P25" s="4"/>
      <c r="Q25" s="4"/>
      <c r="R25" s="4"/>
      <c r="S25" s="4"/>
      <c r="T25" s="4"/>
      <c r="U25" s="4"/>
    </row>
    <row r="26" spans="1:21" ht="15" customHeight="1" x14ac:dyDescent="0.25">
      <c r="A26" s="5" t="s">
        <v>96</v>
      </c>
      <c r="B26" s="5"/>
      <c r="C26" s="5"/>
      <c r="D26" s="5"/>
      <c r="E26" s="5"/>
      <c r="F26" s="5"/>
      <c r="G26" s="5"/>
      <c r="H26" s="5"/>
      <c r="I26" s="5"/>
      <c r="J26" s="5"/>
      <c r="K26" s="5"/>
      <c r="L26" s="5"/>
      <c r="M26" s="5"/>
      <c r="N26" s="5"/>
      <c r="O26" s="5"/>
      <c r="P26" s="5"/>
      <c r="Q26" s="5"/>
      <c r="R26" s="5"/>
      <c r="S26" s="5"/>
      <c r="T26" s="5"/>
      <c r="U26" s="5"/>
    </row>
    <row r="27" spans="1:21" ht="15" customHeight="1" x14ac:dyDescent="0.25">
      <c r="A27" s="11" t="s">
        <v>97</v>
      </c>
      <c r="B27" s="1" t="s">
        <v>98</v>
      </c>
      <c r="C27" s="1"/>
      <c r="D27" s="1"/>
      <c r="E27" s="1"/>
    </row>
    <row r="28" spans="1:21" ht="15" customHeight="1" x14ac:dyDescent="0.25">
      <c r="A28" s="39" t="s">
        <v>99</v>
      </c>
      <c r="B28" s="29">
        <v>0.5</v>
      </c>
    </row>
    <row r="29" spans="1:21" ht="15" customHeight="1" x14ac:dyDescent="0.25">
      <c r="A29" s="39" t="s">
        <v>100</v>
      </c>
      <c r="B29" s="29">
        <v>0.12</v>
      </c>
    </row>
    <row r="30" spans="1:21" ht="15" customHeight="1" x14ac:dyDescent="0.25">
      <c r="A30" s="39" t="s">
        <v>101</v>
      </c>
      <c r="B30" s="30">
        <v>0.15</v>
      </c>
    </row>
    <row r="31" spans="1:21" ht="15" customHeight="1" x14ac:dyDescent="0.25">
      <c r="A31" s="39" t="s">
        <v>102</v>
      </c>
      <c r="B31" s="30">
        <v>0.24</v>
      </c>
    </row>
    <row r="32" spans="1:21" ht="15" customHeight="1" x14ac:dyDescent="0.25">
      <c r="A32" s="39" t="s">
        <v>103</v>
      </c>
      <c r="B32" s="29">
        <v>0</v>
      </c>
    </row>
    <row r="33" spans="1:21" ht="15" customHeight="1" x14ac:dyDescent="0.25">
      <c r="A33" s="39" t="s">
        <v>104</v>
      </c>
      <c r="B33" s="29">
        <v>0.1</v>
      </c>
    </row>
    <row r="35" spans="1:21" ht="15" customHeight="1" x14ac:dyDescent="0.25">
      <c r="A35" s="4" t="s">
        <v>105</v>
      </c>
      <c r="B35" s="4"/>
      <c r="C35" s="4"/>
      <c r="D35" s="4"/>
      <c r="E35" s="4"/>
      <c r="F35" s="4"/>
      <c r="G35" s="4"/>
      <c r="H35" s="4"/>
      <c r="I35" s="4"/>
      <c r="J35" s="4"/>
      <c r="K35" s="4"/>
      <c r="L35" s="4"/>
      <c r="M35" s="4"/>
      <c r="N35" s="4"/>
      <c r="O35" s="4"/>
      <c r="P35" s="4"/>
      <c r="Q35" s="4"/>
      <c r="R35" s="4"/>
      <c r="S35" s="4"/>
      <c r="T35" s="4"/>
      <c r="U35" s="4"/>
    </row>
    <row r="36" spans="1:21" ht="15" customHeight="1" x14ac:dyDescent="0.25">
      <c r="A36" s="40" t="s">
        <v>106</v>
      </c>
      <c r="B36" s="40" t="s">
        <v>107</v>
      </c>
      <c r="C36" s="40" t="s">
        <v>108</v>
      </c>
      <c r="D36" s="40" t="s">
        <v>109</v>
      </c>
      <c r="E36" s="40" t="s">
        <v>110</v>
      </c>
      <c r="F36" s="40" t="s">
        <v>111</v>
      </c>
    </row>
    <row r="37" spans="1:21" ht="15" customHeight="1" x14ac:dyDescent="0.25">
      <c r="A37" s="41" t="s">
        <v>112</v>
      </c>
      <c r="B37" s="42">
        <f>R19</f>
        <v>6.0778606965174129</v>
      </c>
      <c r="C37" s="43">
        <f>B37*'Trading Comps'!B28</f>
        <v>3.0389303482587064</v>
      </c>
      <c r="D37" s="43">
        <f>-'Trading Comps'!B32</f>
        <v>0</v>
      </c>
      <c r="E37" s="44">
        <f>C37+D37</f>
        <v>3.0389303482587064</v>
      </c>
      <c r="F37" s="45">
        <f>E37/'Trading Comps'!B33</f>
        <v>30.389303482587064</v>
      </c>
    </row>
    <row r="38" spans="1:21" ht="15" customHeight="1" x14ac:dyDescent="0.25">
      <c r="A38" s="41" t="s">
        <v>113</v>
      </c>
      <c r="B38" s="42">
        <f>T19</f>
        <v>22.437665343915342</v>
      </c>
      <c r="C38" s="43">
        <f>B37*'Trading Comps'!B29</f>
        <v>0.72934328358208955</v>
      </c>
      <c r="D38" s="43">
        <f>-'Trading Comps'!B32</f>
        <v>0</v>
      </c>
      <c r="E38" s="44">
        <f>C38+D38</f>
        <v>0.72934328358208955</v>
      </c>
      <c r="F38" s="45">
        <f>E38/'Trading Comps'!B33</f>
        <v>7.2934328358208953</v>
      </c>
    </row>
    <row r="39" spans="1:21" ht="15" customHeight="1" x14ac:dyDescent="0.25">
      <c r="A39" s="41" t="s">
        <v>114</v>
      </c>
      <c r="B39" s="42">
        <f>R18</f>
        <v>5.247005988023953</v>
      </c>
      <c r="C39" s="43">
        <f>B37*'Trading Comps'!B28</f>
        <v>3.0389303482587064</v>
      </c>
      <c r="D39" s="43">
        <f>-'Trading Comps'!B32</f>
        <v>0</v>
      </c>
      <c r="E39" s="44">
        <f>C39+D39</f>
        <v>3.0389303482587064</v>
      </c>
      <c r="F39" s="45">
        <f>E39/'Trading Comps'!B33</f>
        <v>30.389303482587064</v>
      </c>
    </row>
    <row r="40" spans="1:21" ht="15" customHeight="1" x14ac:dyDescent="0.25">
      <c r="A40" s="41" t="s">
        <v>115</v>
      </c>
      <c r="B40" s="42">
        <f>T18</f>
        <v>17.461854460093896</v>
      </c>
      <c r="C40" s="43">
        <f>B37*'Trading Comps'!B29</f>
        <v>0.72934328358208955</v>
      </c>
      <c r="D40" s="43">
        <f>-'Trading Comps'!B32</f>
        <v>0</v>
      </c>
      <c r="E40" s="44">
        <f>C40+D40</f>
        <v>0.72934328358208955</v>
      </c>
      <c r="F40" s="45">
        <f>E40/'Trading Comps'!B33</f>
        <v>7.2934328358208953</v>
      </c>
    </row>
  </sheetData>
  <mergeCells count="7">
    <mergeCell ref="B27:E27"/>
    <mergeCell ref="A35:U35"/>
    <mergeCell ref="A1:U1"/>
    <mergeCell ref="A2:U2"/>
    <mergeCell ref="A3:U3"/>
    <mergeCell ref="A25:U25"/>
    <mergeCell ref="A26:U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showGridLines="0" zoomScaleNormal="100" workbookViewId="0">
      <pane ySplit="3" topLeftCell="A4" activePane="bottomLeft" state="frozen"/>
      <selection pane="bottomLeft" sqref="A1:G1"/>
    </sheetView>
  </sheetViews>
  <sheetFormatPr defaultColWidth="8.7109375" defaultRowHeight="15" x14ac:dyDescent="0.25"/>
  <cols>
    <col min="1" max="1" width="30" customWidth="1"/>
    <col min="2" max="7" width="14" customWidth="1"/>
  </cols>
  <sheetData>
    <row r="1" spans="1:7" ht="25.5" customHeight="1" x14ac:dyDescent="0.25">
      <c r="A1" s="6" t="s">
        <v>116</v>
      </c>
      <c r="B1" s="6"/>
      <c r="C1" s="6"/>
      <c r="D1" s="6"/>
      <c r="E1" s="6"/>
      <c r="F1" s="6"/>
      <c r="G1" s="6"/>
    </row>
    <row r="2" spans="1:7" ht="15" customHeight="1" x14ac:dyDescent="0.25">
      <c r="A2" s="5" t="s">
        <v>117</v>
      </c>
      <c r="B2" s="5"/>
      <c r="C2" s="5"/>
      <c r="D2" s="5"/>
      <c r="E2" s="5"/>
      <c r="F2" s="5"/>
      <c r="G2" s="5"/>
    </row>
    <row r="4" spans="1:7" ht="15" customHeight="1" x14ac:dyDescent="0.25">
      <c r="A4" s="4" t="s">
        <v>118</v>
      </c>
      <c r="B4" s="4"/>
      <c r="C4" s="4"/>
      <c r="D4" s="4"/>
      <c r="E4" s="4"/>
      <c r="F4" s="4"/>
      <c r="G4" s="4"/>
    </row>
    <row r="5" spans="1:7" ht="15" customHeight="1" x14ac:dyDescent="0.25">
      <c r="A5" s="46"/>
      <c r="B5" s="47" t="s">
        <v>119</v>
      </c>
      <c r="C5" s="47" t="s">
        <v>108</v>
      </c>
      <c r="D5" s="47" t="s">
        <v>120</v>
      </c>
      <c r="E5" s="47" t="s">
        <v>121</v>
      </c>
      <c r="F5" s="48" t="s">
        <v>122</v>
      </c>
    </row>
    <row r="6" spans="1:7" ht="15" customHeight="1" x14ac:dyDescent="0.25">
      <c r="A6" s="49" t="s">
        <v>90</v>
      </c>
      <c r="B6" s="31">
        <f>'Trading Comps'!R18</f>
        <v>5.247005988023953</v>
      </c>
      <c r="C6" s="50">
        <f>B6*'Trading Comps'!B28</f>
        <v>2.6235029940119765</v>
      </c>
      <c r="D6" s="50">
        <f>-'Trading Comps'!B32</f>
        <v>0</v>
      </c>
      <c r="E6" s="43">
        <f>C6+D6</f>
        <v>2.6235029940119765</v>
      </c>
      <c r="F6" s="43">
        <f>E6/'Trading Comps'!B33</f>
        <v>26.235029940119762</v>
      </c>
    </row>
    <row r="7" spans="1:7" ht="15" customHeight="1" x14ac:dyDescent="0.25">
      <c r="A7" s="35" t="s">
        <v>91</v>
      </c>
      <c r="B7" s="51">
        <f>'Trading Comps'!R19</f>
        <v>6.0778606965174129</v>
      </c>
      <c r="C7" s="44">
        <f>B7*'Trading Comps'!B28</f>
        <v>3.0389303482587064</v>
      </c>
      <c r="D7" s="52">
        <f>-'Trading Comps'!B32</f>
        <v>0</v>
      </c>
      <c r="E7" s="44">
        <f>C7+D7</f>
        <v>3.0389303482587064</v>
      </c>
      <c r="F7" s="45">
        <f>E7/'Trading Comps'!B33</f>
        <v>30.389303482587064</v>
      </c>
    </row>
    <row r="8" spans="1:7" ht="15" customHeight="1" x14ac:dyDescent="0.25">
      <c r="A8" s="35" t="s">
        <v>92</v>
      </c>
      <c r="B8" s="51">
        <f>'Trading Comps'!R20</f>
        <v>7.1764848557932908</v>
      </c>
      <c r="C8" s="44">
        <f>B8*'Trading Comps'!B28</f>
        <v>3.5882424278966454</v>
      </c>
      <c r="D8" s="52">
        <f>-'Trading Comps'!B32</f>
        <v>0</v>
      </c>
      <c r="E8" s="44">
        <f>C8+D8</f>
        <v>3.5882424278966454</v>
      </c>
      <c r="F8" s="45">
        <f>E8/'Trading Comps'!B33</f>
        <v>35.882424278966454</v>
      </c>
    </row>
    <row r="9" spans="1:7" ht="15" customHeight="1" x14ac:dyDescent="0.25">
      <c r="A9" s="49" t="s">
        <v>93</v>
      </c>
      <c r="B9" s="31">
        <f>'Trading Comps'!R21</f>
        <v>8.1867555017161315</v>
      </c>
      <c r="C9" s="50">
        <f>B9*'Trading Comps'!B28</f>
        <v>4.0933777508580658</v>
      </c>
      <c r="D9" s="50">
        <f>-'Trading Comps'!B32</f>
        <v>0</v>
      </c>
      <c r="E9" s="43">
        <f>C9+D9</f>
        <v>4.0933777508580658</v>
      </c>
      <c r="F9" s="43">
        <f>E9/'Trading Comps'!B33</f>
        <v>40.933777508580654</v>
      </c>
    </row>
    <row r="12" spans="1:7" ht="15" customHeight="1" x14ac:dyDescent="0.25">
      <c r="A12" s="4" t="s">
        <v>123</v>
      </c>
      <c r="B12" s="4"/>
      <c r="C12" s="4"/>
      <c r="D12" s="4"/>
      <c r="E12" s="4"/>
      <c r="F12" s="4"/>
      <c r="G12" s="4"/>
    </row>
    <row r="13" spans="1:7" ht="15" customHeight="1" x14ac:dyDescent="0.25">
      <c r="A13" s="46"/>
      <c r="B13" s="47" t="s">
        <v>119</v>
      </c>
      <c r="C13" s="47" t="s">
        <v>108</v>
      </c>
      <c r="D13" s="47" t="s">
        <v>120</v>
      </c>
      <c r="E13" s="47" t="s">
        <v>121</v>
      </c>
      <c r="F13" s="48" t="s">
        <v>122</v>
      </c>
    </row>
    <row r="14" spans="1:7" ht="15" customHeight="1" x14ac:dyDescent="0.25">
      <c r="A14" s="49" t="s">
        <v>90</v>
      </c>
      <c r="B14" s="31">
        <f>'Trading Comps'!T18</f>
        <v>17.461854460093896</v>
      </c>
      <c r="C14" s="50">
        <f>B14*'Trading Comps'!B29</f>
        <v>2.0954225352112674</v>
      </c>
      <c r="D14" s="50">
        <f>-'Trading Comps'!B32</f>
        <v>0</v>
      </c>
      <c r="E14" s="43">
        <f>C14+D14</f>
        <v>2.0954225352112674</v>
      </c>
      <c r="F14" s="43">
        <f>E14/'Trading Comps'!B33</f>
        <v>20.954225352112672</v>
      </c>
    </row>
    <row r="15" spans="1:7" ht="15" customHeight="1" x14ac:dyDescent="0.25">
      <c r="A15" s="35" t="s">
        <v>91</v>
      </c>
      <c r="B15" s="51">
        <f>'Trading Comps'!T19</f>
        <v>22.437665343915342</v>
      </c>
      <c r="C15" s="44">
        <f>B15*'Trading Comps'!B29</f>
        <v>2.6925198412698408</v>
      </c>
      <c r="D15" s="52">
        <f>-'Trading Comps'!B32</f>
        <v>0</v>
      </c>
      <c r="E15" s="44">
        <f>C15+D15</f>
        <v>2.6925198412698408</v>
      </c>
      <c r="F15" s="45">
        <f>E15/'Trading Comps'!B33</f>
        <v>26.925198412698407</v>
      </c>
    </row>
    <row r="16" spans="1:7" ht="15" customHeight="1" x14ac:dyDescent="0.25">
      <c r="A16" s="35" t="s">
        <v>92</v>
      </c>
      <c r="B16" s="51">
        <f>'Trading Comps'!T20</f>
        <v>24.59660440276874</v>
      </c>
      <c r="C16" s="44">
        <f>B16*'Trading Comps'!B29</f>
        <v>2.9515925283322488</v>
      </c>
      <c r="D16" s="52">
        <f>-'Trading Comps'!B32</f>
        <v>0</v>
      </c>
      <c r="E16" s="44">
        <f>C16+D16</f>
        <v>2.9515925283322488</v>
      </c>
      <c r="F16" s="45">
        <f>E16/'Trading Comps'!B33</f>
        <v>29.515925283322488</v>
      </c>
    </row>
    <row r="17" spans="1:7" ht="15" customHeight="1" x14ac:dyDescent="0.25">
      <c r="A17" s="49" t="s">
        <v>93</v>
      </c>
      <c r="B17" s="31">
        <f>'Trading Comps'!T21</f>
        <v>28.008196721311474</v>
      </c>
      <c r="C17" s="50">
        <f>B17*'Trading Comps'!B29</f>
        <v>3.3609836065573768</v>
      </c>
      <c r="D17" s="50">
        <f>-'Trading Comps'!B32</f>
        <v>0</v>
      </c>
      <c r="E17" s="43">
        <f>C17+D17</f>
        <v>3.3609836065573768</v>
      </c>
      <c r="F17" s="43">
        <f>E17/'Trading Comps'!B33</f>
        <v>33.609836065573766</v>
      </c>
    </row>
    <row r="20" spans="1:7" ht="15" customHeight="1" x14ac:dyDescent="0.25">
      <c r="A20" s="4" t="s">
        <v>124</v>
      </c>
      <c r="B20" s="4"/>
      <c r="C20" s="4"/>
      <c r="D20" s="4"/>
      <c r="E20" s="4"/>
      <c r="F20" s="4"/>
      <c r="G20" s="4"/>
    </row>
    <row r="21" spans="1:7" ht="15" customHeight="1" x14ac:dyDescent="0.25">
      <c r="A21" s="35" t="s">
        <v>25</v>
      </c>
      <c r="B21" s="47" t="s">
        <v>125</v>
      </c>
      <c r="C21" s="47" t="s">
        <v>126</v>
      </c>
      <c r="D21" s="35" t="s">
        <v>127</v>
      </c>
    </row>
    <row r="22" spans="1:7" ht="15" customHeight="1" x14ac:dyDescent="0.25">
      <c r="A22" s="53" t="s">
        <v>51</v>
      </c>
      <c r="B22" s="54">
        <v>0.57599999999999996</v>
      </c>
      <c r="C22" s="55">
        <v>15</v>
      </c>
      <c r="D22" s="56" t="s">
        <v>128</v>
      </c>
    </row>
    <row r="23" spans="1:7" ht="15" customHeight="1" x14ac:dyDescent="0.25">
      <c r="A23" s="53" t="s">
        <v>78</v>
      </c>
      <c r="B23" s="54">
        <v>0.505</v>
      </c>
      <c r="C23" s="55">
        <v>11.7</v>
      </c>
      <c r="D23" s="56" t="s">
        <v>129</v>
      </c>
    </row>
    <row r="24" spans="1:7" ht="15" customHeight="1" x14ac:dyDescent="0.25">
      <c r="A24" s="57" t="s">
        <v>81</v>
      </c>
      <c r="B24" s="58">
        <v>0.372</v>
      </c>
      <c r="C24" s="59">
        <v>8.6999999999999993</v>
      </c>
      <c r="D24" s="60" t="s">
        <v>130</v>
      </c>
    </row>
    <row r="25" spans="1:7" ht="15" customHeight="1" x14ac:dyDescent="0.25">
      <c r="A25" s="57" t="s">
        <v>55</v>
      </c>
      <c r="B25" s="58">
        <v>0.38100000000000001</v>
      </c>
      <c r="C25" s="59">
        <v>6.1</v>
      </c>
      <c r="D25" s="60" t="s">
        <v>131</v>
      </c>
    </row>
    <row r="26" spans="1:7" ht="15" customHeight="1" x14ac:dyDescent="0.25">
      <c r="A26" s="57" t="s">
        <v>60</v>
      </c>
      <c r="B26" s="58">
        <v>0.36499999999999999</v>
      </c>
      <c r="C26" s="59">
        <v>6</v>
      </c>
      <c r="D26" s="60" t="s">
        <v>132</v>
      </c>
    </row>
    <row r="27" spans="1:7" ht="15" customHeight="1" x14ac:dyDescent="0.25">
      <c r="A27" s="57" t="s">
        <v>46</v>
      </c>
      <c r="B27" s="58">
        <v>0.34200000000000003</v>
      </c>
      <c r="C27" s="59">
        <v>6.6</v>
      </c>
      <c r="D27" s="60" t="s">
        <v>133</v>
      </c>
    </row>
    <row r="28" spans="1:7" ht="15" customHeight="1" x14ac:dyDescent="0.25">
      <c r="A28" s="57" t="s">
        <v>64</v>
      </c>
      <c r="B28" s="58">
        <v>0.36399999999999999</v>
      </c>
      <c r="C28" s="59">
        <v>4.5</v>
      </c>
      <c r="D28" s="60" t="s">
        <v>134</v>
      </c>
    </row>
    <row r="29" spans="1:7" ht="15" customHeight="1" x14ac:dyDescent="0.25">
      <c r="A29" s="57" t="s">
        <v>85</v>
      </c>
      <c r="B29" s="58">
        <v>0.371</v>
      </c>
      <c r="C29" s="59">
        <v>6</v>
      </c>
      <c r="D29" s="60" t="s">
        <v>135</v>
      </c>
    </row>
    <row r="30" spans="1:7" ht="15" customHeight="1" x14ac:dyDescent="0.25">
      <c r="A30" s="53" t="s">
        <v>73</v>
      </c>
      <c r="B30" s="54">
        <v>0.40699999999999997</v>
      </c>
      <c r="C30" s="55">
        <v>5</v>
      </c>
      <c r="D30" s="56" t="s">
        <v>136</v>
      </c>
    </row>
    <row r="31" spans="1:7" ht="15" customHeight="1" x14ac:dyDescent="0.25">
      <c r="A31" s="49" t="s">
        <v>69</v>
      </c>
      <c r="B31" s="61">
        <v>0.29799999999999999</v>
      </c>
      <c r="C31" s="62">
        <v>2.1</v>
      </c>
      <c r="D31" s="27" t="s">
        <v>137</v>
      </c>
    </row>
    <row r="32" spans="1:7" ht="15" customHeight="1" x14ac:dyDescent="0.25">
      <c r="A32" s="5" t="s">
        <v>138</v>
      </c>
      <c r="B32" s="5"/>
      <c r="C32" s="5"/>
      <c r="D32" s="5"/>
      <c r="E32" s="5"/>
      <c r="F32" s="5"/>
      <c r="G32" s="5"/>
    </row>
  </sheetData>
  <mergeCells count="6">
    <mergeCell ref="A32:G32"/>
    <mergeCell ref="A1:G1"/>
    <mergeCell ref="A2:G2"/>
    <mergeCell ref="A4:G4"/>
    <mergeCell ref="A12:G12"/>
    <mergeCell ref="A20:G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4"/>
  <sheetViews>
    <sheetView showGridLines="0" zoomScaleNormal="100" workbookViewId="0">
      <pane ySplit="3" topLeftCell="A4" activePane="bottomLeft" state="frozen"/>
      <selection pane="bottomLeft" activeCell="F9" sqref="F9"/>
    </sheetView>
  </sheetViews>
  <sheetFormatPr defaultColWidth="8.7109375" defaultRowHeight="15" x14ac:dyDescent="0.25"/>
  <cols>
    <col min="1" max="1" width="24" customWidth="1"/>
    <col min="2" max="2" width="72" customWidth="1"/>
  </cols>
  <sheetData>
    <row r="1" spans="1:2" ht="25.5" customHeight="1" x14ac:dyDescent="0.25">
      <c r="A1" s="6" t="s">
        <v>139</v>
      </c>
      <c r="B1" s="6"/>
    </row>
    <row r="2" spans="1:2" ht="15" customHeight="1" x14ac:dyDescent="0.25">
      <c r="A2" s="5" t="s">
        <v>159</v>
      </c>
      <c r="B2" s="5"/>
    </row>
    <row r="4" spans="1:2" ht="15" customHeight="1" x14ac:dyDescent="0.25">
      <c r="A4" s="4" t="s">
        <v>140</v>
      </c>
      <c r="B4" s="4"/>
    </row>
    <row r="5" spans="1:2" ht="48" x14ac:dyDescent="0.25">
      <c r="A5" s="7" t="s">
        <v>141</v>
      </c>
      <c r="B5" s="63" t="s">
        <v>163</v>
      </c>
    </row>
    <row r="6" spans="1:2" ht="69.75" customHeight="1" x14ac:dyDescent="0.25">
      <c r="A6" s="7" t="s">
        <v>142</v>
      </c>
      <c r="B6" s="63" t="s">
        <v>162</v>
      </c>
    </row>
    <row r="7" spans="1:2" x14ac:dyDescent="0.25">
      <c r="A7" s="64"/>
      <c r="B7" s="64"/>
    </row>
    <row r="8" spans="1:2" ht="15" customHeight="1" x14ac:dyDescent="0.25">
      <c r="A8" s="4" t="s">
        <v>143</v>
      </c>
      <c r="B8" s="4"/>
    </row>
    <row r="9" spans="1:2" ht="84" x14ac:dyDescent="0.25">
      <c r="A9" s="7" t="s">
        <v>144</v>
      </c>
      <c r="B9" s="63" t="s">
        <v>160</v>
      </c>
    </row>
    <row r="10" spans="1:2" ht="72" x14ac:dyDescent="0.25">
      <c r="A10" s="7" t="s">
        <v>145</v>
      </c>
      <c r="B10" s="63" t="s">
        <v>161</v>
      </c>
    </row>
    <row r="11" spans="1:2" ht="51.75" customHeight="1" x14ac:dyDescent="0.25">
      <c r="A11" s="64"/>
      <c r="B11" s="64"/>
    </row>
    <row r="12" spans="1:2" x14ac:dyDescent="0.25">
      <c r="A12" s="4" t="s">
        <v>146</v>
      </c>
      <c r="B12" s="4"/>
    </row>
    <row r="13" spans="1:2" ht="72" x14ac:dyDescent="0.25">
      <c r="A13" s="7" t="s">
        <v>147</v>
      </c>
      <c r="B13" s="63" t="s">
        <v>164</v>
      </c>
    </row>
    <row r="14" spans="1:2" ht="69.75" customHeight="1" x14ac:dyDescent="0.25">
      <c r="A14" s="7" t="s">
        <v>148</v>
      </c>
      <c r="B14" s="63" t="s">
        <v>165</v>
      </c>
    </row>
    <row r="15" spans="1:2" ht="96" x14ac:dyDescent="0.25">
      <c r="A15" s="7" t="s">
        <v>149</v>
      </c>
      <c r="B15" s="63" t="s">
        <v>166</v>
      </c>
    </row>
    <row r="16" spans="1:2" ht="51.75" customHeight="1" x14ac:dyDescent="0.25">
      <c r="A16" s="64"/>
      <c r="B16" s="64"/>
    </row>
    <row r="17" spans="1:2" x14ac:dyDescent="0.25">
      <c r="A17" s="4" t="s">
        <v>150</v>
      </c>
      <c r="B17" s="4"/>
    </row>
    <row r="18" spans="1:2" ht="69.75" customHeight="1" x14ac:dyDescent="0.25">
      <c r="A18" s="7" t="s">
        <v>151</v>
      </c>
      <c r="B18" s="63" t="s">
        <v>167</v>
      </c>
    </row>
    <row r="19" spans="1:2" ht="69.75" customHeight="1" x14ac:dyDescent="0.25">
      <c r="A19" s="7" t="s">
        <v>125</v>
      </c>
      <c r="B19" s="63" t="s">
        <v>152</v>
      </c>
    </row>
    <row r="20" spans="1:2" ht="69.75" customHeight="1" x14ac:dyDescent="0.25">
      <c r="A20" s="7" t="s">
        <v>153</v>
      </c>
      <c r="B20" s="63" t="s">
        <v>168</v>
      </c>
    </row>
    <row r="21" spans="1:2" ht="51.75" customHeight="1" x14ac:dyDescent="0.25">
      <c r="A21" s="64"/>
      <c r="B21" s="64"/>
    </row>
    <row r="22" spans="1:2" x14ac:dyDescent="0.25">
      <c r="A22" s="4" t="s">
        <v>154</v>
      </c>
      <c r="B22" s="4"/>
    </row>
    <row r="23" spans="1:2" ht="69.75" customHeight="1" x14ac:dyDescent="0.25">
      <c r="A23" s="7" t="s">
        <v>155</v>
      </c>
      <c r="B23" s="63" t="s">
        <v>156</v>
      </c>
    </row>
    <row r="24" spans="1:2" ht="51.75" customHeight="1" x14ac:dyDescent="0.25">
      <c r="A24" s="64"/>
      <c r="B24" s="64"/>
    </row>
  </sheetData>
  <mergeCells count="7">
    <mergeCell ref="A17:B17"/>
    <mergeCell ref="A22:B22"/>
    <mergeCell ref="A1:B1"/>
    <mergeCell ref="A2:B2"/>
    <mergeCell ref="A4:B4"/>
    <mergeCell ref="A8:B8"/>
    <mergeCell ref="A12:B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Trading Comps</vt:lpstr>
      <vt:lpstr>Valuation Bridge</vt:lpstr>
      <vt:lpstr>Sector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Yassin Alyassin</cp:lastModifiedBy>
  <cp:revision>0</cp:revision>
  <dcterms:created xsi:type="dcterms:W3CDTF">2026-03-13T07:11:51Z</dcterms:created>
  <dcterms:modified xsi:type="dcterms:W3CDTF">2026-03-13T07:27:48Z</dcterms:modified>
  <dc:language>en-US</dc:language>
</cp:coreProperties>
</file>