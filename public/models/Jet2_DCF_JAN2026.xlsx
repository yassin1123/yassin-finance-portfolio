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7a148474250f21e/Desktop/"/>
    </mc:Choice>
  </mc:AlternateContent>
  <xr:revisionPtr revIDLastSave="11" documentId="8_{040AB423-ED79-4907-8EDA-64BAE20BC7CD}" xr6:coauthVersionLast="47" xr6:coauthVersionMax="47" xr10:uidLastSave="{FD4F0A7B-0B1B-44F9-9122-C6985E61486C}"/>
  <bookViews>
    <workbookView xWindow="-120" yWindow="-120" windowWidth="29040" windowHeight="15720" tabRatio="500" firstSheet="4" activeTab="4" xr2:uid="{00000000-000D-0000-FFFF-FFFF00000000}"/>
  </bookViews>
  <sheets>
    <sheet name="Dashboard" sheetId="1" r:id="rId1"/>
    <sheet name="Assumptions" sheetId="2" r:id="rId2"/>
    <sheet name="WACC" sheetId="3" r:id="rId3"/>
    <sheet name="Income Statement" sheetId="4" r:id="rId4"/>
    <sheet name="Cash Flow" sheetId="5" r:id="rId5"/>
    <sheet name="DCF Valuation" sheetId="6" r:id="rId6"/>
    <sheet name="Sensitivity" sheetId="7" r:id="rId7"/>
    <sheet name="Scenarios" sheetId="8" r:id="rId8"/>
    <sheet name="Comparables" sheetId="9" r:id="rId9"/>
    <sheet name="Model Checks" sheetId="10" r:id="rId10"/>
    <sheet name="Investment Memo"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 i="10" l="1"/>
  <c r="B7" i="10"/>
  <c r="C7" i="10" s="1"/>
  <c r="F12" i="9"/>
  <c r="E12" i="9"/>
  <c r="F11" i="9"/>
  <c r="E11" i="9"/>
  <c r="F9" i="9"/>
  <c r="E9" i="9"/>
  <c r="F8" i="9"/>
  <c r="E8" i="9"/>
  <c r="F7" i="9"/>
  <c r="E7" i="9"/>
  <c r="F6" i="9"/>
  <c r="E6" i="9"/>
  <c r="F5" i="9"/>
  <c r="E5" i="9"/>
  <c r="B27" i="6"/>
  <c r="B25" i="6"/>
  <c r="B23" i="6"/>
  <c r="B14" i="6"/>
  <c r="D21" i="5"/>
  <c r="C21" i="5"/>
  <c r="B21" i="5"/>
  <c r="D20" i="5"/>
  <c r="C20" i="5"/>
  <c r="B20" i="5"/>
  <c r="D14" i="5"/>
  <c r="C14" i="5"/>
  <c r="B14" i="5"/>
  <c r="D13" i="5"/>
  <c r="C13" i="5"/>
  <c r="B13" i="5"/>
  <c r="D12" i="5"/>
  <c r="D15" i="5" s="1"/>
  <c r="C12" i="5"/>
  <c r="C15" i="5" s="1"/>
  <c r="C16" i="5" s="1"/>
  <c r="C17" i="5" s="1"/>
  <c r="B12" i="5"/>
  <c r="B15" i="5" s="1"/>
  <c r="I25" i="4"/>
  <c r="H25" i="4"/>
  <c r="G25" i="4"/>
  <c r="F25" i="4"/>
  <c r="E25" i="4"/>
  <c r="D17" i="4"/>
  <c r="D18" i="4" s="1"/>
  <c r="C17" i="4"/>
  <c r="C18" i="4" s="1"/>
  <c r="B17" i="4"/>
  <c r="B18" i="4" s="1"/>
  <c r="D9" i="4"/>
  <c r="C9" i="4"/>
  <c r="E7" i="4"/>
  <c r="F7" i="4" s="1"/>
  <c r="G7" i="4" s="1"/>
  <c r="H7" i="4" s="1"/>
  <c r="I7" i="4" s="1"/>
  <c r="E6" i="4"/>
  <c r="B17" i="3"/>
  <c r="B16" i="3"/>
  <c r="B18" i="3" s="1"/>
  <c r="B12" i="3"/>
  <c r="B11" i="3"/>
  <c r="B13" i="3" s="1"/>
  <c r="B7" i="3"/>
  <c r="B6" i="3"/>
  <c r="B5" i="3"/>
  <c r="B8" i="3" s="1"/>
  <c r="B21" i="3" s="1"/>
  <c r="B12" i="1"/>
  <c r="B8" i="1"/>
  <c r="D19" i="4" l="1"/>
  <c r="D21" i="4"/>
  <c r="D22" i="4" s="1"/>
  <c r="C19" i="4"/>
  <c r="C21" i="4"/>
  <c r="C22" i="4" s="1"/>
  <c r="B21" i="4"/>
  <c r="B22" i="4" s="1"/>
  <c r="B19" i="4"/>
  <c r="F6" i="4"/>
  <c r="E8" i="4"/>
  <c r="B8" i="6"/>
  <c r="C8" i="6"/>
  <c r="D8" i="6"/>
  <c r="E8" i="6"/>
  <c r="F8" i="6"/>
  <c r="B13" i="6"/>
  <c r="B12" i="10"/>
  <c r="C12" i="10" s="1"/>
  <c r="B36" i="6"/>
  <c r="B5" i="10"/>
  <c r="C5" i="10" s="1"/>
  <c r="B11" i="1"/>
  <c r="D16" i="5"/>
  <c r="D17" i="5" s="1"/>
  <c r="G6" i="4" l="1"/>
  <c r="F8" i="4"/>
  <c r="E9" i="4"/>
  <c r="E12" i="4"/>
  <c r="E13" i="4"/>
  <c r="E14" i="4"/>
  <c r="E15" i="4"/>
  <c r="E16" i="4"/>
  <c r="E20" i="4"/>
  <c r="E9" i="5" s="1"/>
  <c r="E16" i="1"/>
  <c r="E10" i="5"/>
  <c r="E12" i="5"/>
  <c r="E15" i="5" s="1"/>
  <c r="E16" i="5" s="1"/>
  <c r="E13" i="5"/>
  <c r="E14" i="5"/>
  <c r="B9" i="10"/>
  <c r="C9" i="10" s="1"/>
  <c r="H6" i="4" l="1"/>
  <c r="G8" i="4"/>
  <c r="F10" i="5"/>
  <c r="F12" i="5"/>
  <c r="F15" i="5" s="1"/>
  <c r="F16" i="5" s="1"/>
  <c r="F13" i="5"/>
  <c r="F14" i="5"/>
  <c r="F13" i="4"/>
  <c r="F9" i="4"/>
  <c r="F12" i="4"/>
  <c r="F14" i="4"/>
  <c r="F15" i="4"/>
  <c r="F16" i="4"/>
  <c r="F20" i="4"/>
  <c r="F9" i="5" s="1"/>
  <c r="E21" i="5"/>
  <c r="B10" i="10"/>
  <c r="E20" i="5"/>
  <c r="E17" i="4"/>
  <c r="E18" i="4" s="1"/>
  <c r="I6" i="4" l="1"/>
  <c r="I8" i="4" s="1"/>
  <c r="H8" i="4"/>
  <c r="G10" i="5"/>
  <c r="G12" i="5"/>
  <c r="G13" i="5"/>
  <c r="G14" i="5"/>
  <c r="G9" i="4"/>
  <c r="G12" i="4"/>
  <c r="G13" i="4"/>
  <c r="G14" i="4"/>
  <c r="G15" i="4"/>
  <c r="G16" i="4"/>
  <c r="G20" i="4"/>
  <c r="G9" i="5" s="1"/>
  <c r="F21" i="5"/>
  <c r="F20" i="5"/>
  <c r="E19" i="1"/>
  <c r="E21" i="4"/>
  <c r="E19" i="4"/>
  <c r="F17" i="4"/>
  <c r="F18" i="4" s="1"/>
  <c r="I10" i="5" l="1"/>
  <c r="I12" i="5"/>
  <c r="I13" i="5"/>
  <c r="I14" i="5"/>
  <c r="I9" i="4"/>
  <c r="I12" i="4"/>
  <c r="I13" i="4"/>
  <c r="I14" i="4"/>
  <c r="I15" i="4"/>
  <c r="I16" i="4"/>
  <c r="I20" i="4"/>
  <c r="I9" i="5" s="1"/>
  <c r="H10" i="5"/>
  <c r="H12" i="5"/>
  <c r="H13" i="5"/>
  <c r="H14" i="5"/>
  <c r="H9" i="4"/>
  <c r="H12" i="4"/>
  <c r="H13" i="4"/>
  <c r="H14" i="4"/>
  <c r="H15" i="4"/>
  <c r="H16" i="4"/>
  <c r="H20" i="4"/>
  <c r="H9" i="5" s="1"/>
  <c r="G21" i="5"/>
  <c r="G20" i="5"/>
  <c r="E18" i="1"/>
  <c r="E22" i="4"/>
  <c r="E26" i="4"/>
  <c r="E27" i="4"/>
  <c r="E20" i="1" s="1"/>
  <c r="E6" i="5"/>
  <c r="E17" i="1"/>
  <c r="F21" i="4"/>
  <c r="F19" i="4"/>
  <c r="G15" i="5"/>
  <c r="G16" i="5" s="1"/>
  <c r="G17" i="4"/>
  <c r="G18" i="4" s="1"/>
  <c r="I21" i="5" l="1"/>
  <c r="I20" i="5"/>
  <c r="H21" i="5"/>
  <c r="H20" i="5"/>
  <c r="E7" i="5"/>
  <c r="E8" i="5"/>
  <c r="E17" i="5" s="1"/>
  <c r="F22" i="4"/>
  <c r="F26" i="4"/>
  <c r="F27" i="4"/>
  <c r="F6" i="5"/>
  <c r="G21" i="4"/>
  <c r="G19" i="4"/>
  <c r="I17" i="4"/>
  <c r="I18" i="4" s="1"/>
  <c r="H15" i="5"/>
  <c r="H16" i="5" s="1"/>
  <c r="H17" i="4"/>
  <c r="H18" i="4" s="1"/>
  <c r="I15" i="5"/>
  <c r="B6" i="6" l="1"/>
  <c r="B9" i="6" s="1"/>
  <c r="E21" i="1"/>
  <c r="F7" i="5"/>
  <c r="F8" i="5"/>
  <c r="F17" i="5" s="1"/>
  <c r="G26" i="4"/>
  <c r="G27" i="4" s="1"/>
  <c r="G22" i="4"/>
  <c r="G6" i="5"/>
  <c r="I21" i="4"/>
  <c r="I19" i="4"/>
  <c r="H21" i="4"/>
  <c r="H19" i="4"/>
  <c r="I16" i="5"/>
  <c r="G7" i="5" l="1"/>
  <c r="G8" i="5"/>
  <c r="G17" i="5" s="1"/>
  <c r="D6" i="6" s="1"/>
  <c r="D9" i="6" s="1"/>
  <c r="I22" i="4"/>
  <c r="I26" i="4"/>
  <c r="I27" i="4"/>
  <c r="I6" i="5"/>
  <c r="H22" i="4"/>
  <c r="H26" i="4"/>
  <c r="H27" i="4"/>
  <c r="H6" i="5"/>
  <c r="C6" i="6"/>
  <c r="C9" i="6" s="1"/>
  <c r="I7" i="5" l="1"/>
  <c r="I8" i="5" s="1"/>
  <c r="I17" i="5" s="1"/>
  <c r="F6" i="6" s="1"/>
  <c r="H7" i="5"/>
  <c r="H8" i="5"/>
  <c r="H17" i="5" s="1"/>
  <c r="B12" i="6" l="1"/>
  <c r="B15" i="6" s="1"/>
  <c r="B16" i="6" s="1"/>
  <c r="F9" i="6"/>
  <c r="B8" i="10"/>
  <c r="C8" i="10" s="1"/>
  <c r="E6" i="6"/>
  <c r="E9" i="6" s="1"/>
  <c r="H9" i="6" s="1"/>
  <c r="B19" i="6" s="1"/>
  <c r="B20" i="6" l="1"/>
  <c r="B21" i="6" s="1"/>
  <c r="B32" i="6"/>
  <c r="B6" i="10"/>
  <c r="C6" i="10" s="1"/>
  <c r="B10" i="1"/>
  <c r="B24" i="6" l="1"/>
  <c r="B33" i="6"/>
  <c r="B34" i="6"/>
  <c r="B5" i="1"/>
  <c r="B26" i="6" l="1"/>
  <c r="B6" i="1"/>
  <c r="B28" i="6" l="1"/>
  <c r="B9" i="1" s="1"/>
  <c r="B11" i="10"/>
  <c r="C11" i="10" s="1"/>
  <c r="B35" i="6"/>
  <c r="B7" i="1"/>
</calcChain>
</file>

<file path=xl/sharedStrings.xml><?xml version="1.0" encoding="utf-8"?>
<sst xmlns="http://schemas.openxmlformats.org/spreadsheetml/2006/main" count="449" uniqueCount="369">
  <si>
    <t>JET2 PLC — DCF MODEL DASHBOARD</t>
  </si>
  <si>
    <t>VALUATION SUMMARY</t>
  </si>
  <si>
    <t>Enterprise Value (£m)</t>
  </si>
  <si>
    <t>Equity Value (£m)</t>
  </si>
  <si>
    <t>Implied Share Price (£)</t>
  </si>
  <si>
    <t>Current Share Price (£)</t>
  </si>
  <si>
    <t>Implied Upside/(Downside)</t>
  </si>
  <si>
    <t>TV as % of EV</t>
  </si>
  <si>
    <t>WACC</t>
  </si>
  <si>
    <t>Terminal Growth Rate</t>
  </si>
  <si>
    <t>KEY FINANCIALS (£m)</t>
  </si>
  <si>
    <t>Metric</t>
  </si>
  <si>
    <t>FY2023A</t>
  </si>
  <si>
    <t>FY2024A</t>
  </si>
  <si>
    <t>FY2025A</t>
  </si>
  <si>
    <t>FY2026E</t>
  </si>
  <si>
    <t>Revenue</t>
  </si>
  <si>
    <t>EBIT</t>
  </si>
  <si>
    <t>EBIT Margin</t>
  </si>
  <si>
    <t>EBITDA</t>
  </si>
  <si>
    <t>Net Income</t>
  </si>
  <si>
    <t>FCFF</t>
  </si>
  <si>
    <t>—</t>
  </si>
  <si>
    <t>SCENARIO PRICES (£)</t>
  </si>
  <si>
    <t>Base Case</t>
  </si>
  <si>
    <t>Bull Case</t>
  </si>
  <si>
    <t>Bear Case</t>
  </si>
  <si>
    <t>vs Current Price (£12.60)</t>
  </si>
  <si>
    <t>+76.0%</t>
  </si>
  <si>
    <t>+275.1%</t>
  </si>
  <si>
    <t>-54.9%</t>
  </si>
  <si>
    <t>MODEL CHECKS (SUMMARY)</t>
  </si>
  <si>
    <t>All checks passing</t>
  </si>
  <si>
    <t>→ See Model Checks tab for detail</t>
  </si>
  <si>
    <t>NAVIGATION</t>
  </si>
  <si>
    <t>Assumptions</t>
  </si>
  <si>
    <t>→ All model inputs</t>
  </si>
  <si>
    <t>→ CAPM build</t>
  </si>
  <si>
    <t>Income Statement</t>
  </si>
  <si>
    <t>→ P&amp;L projection</t>
  </si>
  <si>
    <t>Cash Flow</t>
  </si>
  <si>
    <t>→ FCFF build</t>
  </si>
  <si>
    <t>DCF Valuation</t>
  </si>
  <si>
    <t>→ EV &amp; equity bridge</t>
  </si>
  <si>
    <t>Sensitivity</t>
  </si>
  <si>
    <t>→ WACC × TGR matrix</t>
  </si>
  <si>
    <t>Scenarios</t>
  </si>
  <si>
    <t>→ Base / Bull / Bear</t>
  </si>
  <si>
    <t>Comparables</t>
  </si>
  <si>
    <t>→ Peer multiples</t>
  </si>
  <si>
    <t>Model Checks</t>
  </si>
  <si>
    <t>→ Integrity checks</t>
  </si>
  <si>
    <t>Investment Memo</t>
  </si>
  <si>
    <t>→ One-page memo</t>
  </si>
  <si>
    <t>JET2 PLC — MODEL ASSUMPTIONS</t>
  </si>
  <si>
    <t>All blue cells = inputs | Black = formula | Green = cross-sheet link | Source: Jet2 Annual Reports FY2023–FY2025</t>
  </si>
  <si>
    <t>Blue = Hardcoded input</t>
  </si>
  <si>
    <t>Black = Formula</t>
  </si>
  <si>
    <t>Green = Cross-sheet link</t>
  </si>
  <si>
    <t>WACC ASSUMPTIONS</t>
  </si>
  <si>
    <t>Risk-Free Rate (10yr UK Gilt)</t>
  </si>
  <si>
    <t>UK 10yr Gilt ~4.3% (March 2026)</t>
  </si>
  <si>
    <t>Equity Risk Premium (ERP)</t>
  </si>
  <si>
    <t>Damodaran UK ERP estimate</t>
  </si>
  <si>
    <t>Beta (Levered, 2yr weekly)</t>
  </si>
  <si>
    <t>Jet2 vs FTSE All-Share; aviation sector</t>
  </si>
  <si>
    <t>Cost of Equity (Ke)</t>
  </si>
  <si>
    <t>→ WACC tab</t>
  </si>
  <si>
    <t>CAPM: Rf + β×ERP — see WACC tab</t>
  </si>
  <si>
    <t>Pre-Tax Cost of Debt (Kd)</t>
  </si>
  <si>
    <t>Blended rate from FY25 notes payable</t>
  </si>
  <si>
    <t>Tax Rate</t>
  </si>
  <si>
    <t>UK corporation tax 25%</t>
  </si>
  <si>
    <t>After-Tax Cost of Debt</t>
  </si>
  <si>
    <t>Kd×(1−t)</t>
  </si>
  <si>
    <t>Equity Weight (E/V)</t>
  </si>
  <si>
    <t>Mkt cap ~£2.6bn / EV ~£4.1bn</t>
  </si>
  <si>
    <t>Debt Weight (D/V)</t>
  </si>
  <si>
    <t>1 − equity weight</t>
  </si>
  <si>
    <t>Ke×We + Kd×Wd — see WACC tab</t>
  </si>
  <si>
    <t>REVENUE DRIVERS</t>
  </si>
  <si>
    <t>Value</t>
  </si>
  <si>
    <t>Note</t>
  </si>
  <si>
    <t xml:space="preserve">  Seats Flown FY2025A (m)</t>
  </si>
  <si>
    <t>Jet2 FY25 pax capacity</t>
  </si>
  <si>
    <t xml:space="preserve">  Seat Growth FY2026E</t>
  </si>
  <si>
    <t>Mgmt guided +13% capacity</t>
  </si>
  <si>
    <t xml:space="preserve">  Seat Growth FY2027E</t>
  </si>
  <si>
    <t xml:space="preserve">  Seat Growth FY2028E</t>
  </si>
  <si>
    <t xml:space="preserve">  Seat Growth FY2029E</t>
  </si>
  <si>
    <t xml:space="preserve">  Seat Growth FY2030E</t>
  </si>
  <si>
    <t xml:space="preserve">  Avg Revenue per Seat FY2025A (£)</t>
  </si>
  <si>
    <t>£7,174m / 22.3m seats</t>
  </si>
  <si>
    <t xml:space="preserve">  Rev/Seat Growth FY2026E</t>
  </si>
  <si>
    <t>Volume-driven; pricing flat</t>
  </si>
  <si>
    <t xml:space="preserve">  Rev/Seat Growth FY2027–30E</t>
  </si>
  <si>
    <t>Modest pricing uplift</t>
  </si>
  <si>
    <t>MARGIN &amp; COST ASSUMPTIONS</t>
  </si>
  <si>
    <t xml:space="preserve">  Fuel Cost % Revenue FY2026E</t>
  </si>
  <si>
    <t>Aviation fuel ~19-20% of revenues</t>
  </si>
  <si>
    <t xml:space="preserve">  Fuel Cost % Revenue FY2027–30</t>
  </si>
  <si>
    <t>Efficiency gains from A321neo</t>
  </si>
  <si>
    <t xml:space="preserve">  Staff Cost % Revenue</t>
  </si>
  <si>
    <t>FY25 actual ~15.5%</t>
  </si>
  <si>
    <t xml:space="preserve">  Aircraft Leases % Revenue</t>
  </si>
  <si>
    <t>IFRS 16 lease payments</t>
  </si>
  <si>
    <t xml:space="preserve">  Airport &amp; Handling % Revenue</t>
  </si>
  <si>
    <t>Slot fees, ground handling</t>
  </si>
  <si>
    <t xml:space="preserve">  Other Opex % Revenue</t>
  </si>
  <si>
    <t>Maintenance, IT, overheads</t>
  </si>
  <si>
    <t xml:space="preserve">  EBITDA Margin FY2026E</t>
  </si>
  <si>
    <t>Calculated</t>
  </si>
  <si>
    <t>Calculated: 1 − sum of above costs − D&amp;A</t>
  </si>
  <si>
    <t xml:space="preserve">  EBIT Margin FY2026E</t>
  </si>
  <si>
    <t>Slight expansion on operational leverage</t>
  </si>
  <si>
    <t xml:space="preserve">  EBIT Margin FY2027E</t>
  </si>
  <si>
    <t xml:space="preserve">  EBIT Margin FY2028E</t>
  </si>
  <si>
    <t xml:space="preserve">  EBIT Margin FY2029E</t>
  </si>
  <si>
    <t xml:space="preserve">  EBIT Margin FY2030E</t>
  </si>
  <si>
    <t>Steady-state; A321neo fully embedded</t>
  </si>
  <si>
    <t xml:space="preserve">  D&amp;A % Revenue</t>
  </si>
  <si>
    <t>FY25: £282m / £7,174m</t>
  </si>
  <si>
    <t xml:space="preserve">  Capex % Revenue</t>
  </si>
  <si>
    <t>FY25: £391m / £7,174m; A321neo deliveries</t>
  </si>
  <si>
    <t xml:space="preserve">  Change in NWC % Revenue</t>
  </si>
  <si>
    <t>Slight working capital absorption</t>
  </si>
  <si>
    <t xml:space="preserve">  Receivables Days</t>
  </si>
  <si>
    <t>Days sales outstanding</t>
  </si>
  <si>
    <t xml:space="preserve">  Payables Days</t>
  </si>
  <si>
    <t>Days payable outstanding</t>
  </si>
  <si>
    <t xml:space="preserve">  Inventory Days</t>
  </si>
  <si>
    <t>Fuel &amp; consumables</t>
  </si>
  <si>
    <t>DCF ASSUMPTIONS</t>
  </si>
  <si>
    <t>Projection Period (years)</t>
  </si>
  <si>
    <t>FY2026E – FY2030E</t>
  </si>
  <si>
    <t>Conservative: long-run nominal GDP</t>
  </si>
  <si>
    <t>Valuation Date</t>
  </si>
  <si>
    <t>31 March 2025</t>
  </si>
  <si>
    <t>End of FY2025A</t>
  </si>
  <si>
    <t>Net Cash / (Debt) FY2025A (£m)</t>
  </si>
  <si>
    <t>Source: Jet2 FY25 balance sheet</t>
  </si>
  <si>
    <t>Shares Outstanding (m)</t>
  </si>
  <si>
    <t>Source: Jet2 FY25 annual report</t>
  </si>
  <si>
    <t>LSE closing price March 2026</t>
  </si>
  <si>
    <t>HISTORICAL FINANCIALS (£m)</t>
  </si>
  <si>
    <t>Revenue (£m)</t>
  </si>
  <si>
    <t>EBIT (£m)</t>
  </si>
  <si>
    <t>EBITDA (est. £m)</t>
  </si>
  <si>
    <t>EBITDA Margin</t>
  </si>
  <si>
    <t>Net Income (£m)</t>
  </si>
  <si>
    <t>D&amp;A (£m)</t>
  </si>
  <si>
    <t>Capex (£m)</t>
  </si>
  <si>
    <t>Operating Cash Flow (£m)</t>
  </si>
  <si>
    <t>Net Cash/(Debt) (£m)</t>
  </si>
  <si>
    <t>Passengers (m)</t>
  </si>
  <si>
    <t>Revenue/Seat (£)</t>
  </si>
  <si>
    <t>WACC CALCULATION — JET2 PLC</t>
  </si>
  <si>
    <t>All inputs linked from Assumptions tab | CAPM cost of equity | Market value weights</t>
  </si>
  <si>
    <t>COST OF EQUITY (CAPM)</t>
  </si>
  <si>
    <t>Risk-Free Rate (Rf)</t>
  </si>
  <si>
    <t>Beta (β)</t>
  </si>
  <si>
    <t>Cost of Equity  Ke = Rf + β×ERP</t>
  </si>
  <si>
    <t>COST OF DEBT</t>
  </si>
  <si>
    <t>Pre-Tax Cost of Debt</t>
  </si>
  <si>
    <t>After-Tax Cost of Debt  Kd×(1-t)</t>
  </si>
  <si>
    <t>CAPITAL STRUCTURE</t>
  </si>
  <si>
    <t>Check (should = 1.0x)</t>
  </si>
  <si>
    <t>✓ Must equal 1.00x</t>
  </si>
  <si>
    <t>WACC  =  Ke×We + Kd×Wd</t>
  </si>
  <si>
    <t>← Used in DCF discounting and terminal value</t>
  </si>
  <si>
    <t>WACC SENSITIVITY (varying Beta &amp; ERP)</t>
  </si>
  <si>
    <t>Beta \ ERP</t>
  </si>
  <si>
    <t>JET2 PLC — INCOME STATEMENT (£m)</t>
  </si>
  <si>
    <t>Gray = Historical (actual) | Blue = Forecast | Source: Jet2 Annual Reports</t>
  </si>
  <si>
    <t>FY2027E</t>
  </si>
  <si>
    <t>FY2028E</t>
  </si>
  <si>
    <t>FY2029E</t>
  </si>
  <si>
    <t>FY2030E</t>
  </si>
  <si>
    <t xml:space="preserve">  Seats Flown (m)</t>
  </si>
  <si>
    <t xml:space="preserve">  Avg Revenue per Seat (£)</t>
  </si>
  <si>
    <t xml:space="preserve">    YoY Growth</t>
  </si>
  <si>
    <t>OPERATING COSTS (£m)</t>
  </si>
  <si>
    <t xml:space="preserve">    Fuel Costs</t>
  </si>
  <si>
    <t xml:space="preserve">    Staff Costs</t>
  </si>
  <si>
    <t xml:space="preserve">    Aircraft Leases</t>
  </si>
  <si>
    <t xml:space="preserve">    Airport &amp; Handling</t>
  </si>
  <si>
    <t xml:space="preserve">    Other Operating</t>
  </si>
  <si>
    <t>Total Operating Costs</t>
  </si>
  <si>
    <t xml:space="preserve">    EBITDA Margin</t>
  </si>
  <si>
    <t xml:space="preserve">    Depreciation &amp; Amortisation</t>
  </si>
  <si>
    <t xml:space="preserve">    EBIT Margin</t>
  </si>
  <si>
    <t>BELOW THE LINE</t>
  </si>
  <si>
    <t xml:space="preserve">  Net Interest Income / (Expense)</t>
  </si>
  <si>
    <t xml:space="preserve">  Tax</t>
  </si>
  <si>
    <t>JET2 PLC — FREE CASH FLOW BUILD (£m)</t>
  </si>
  <si>
    <t>FCFF = NOPAT + D&amp;A − Capex − ΔNWC | Gray = Historical | Blue = Forecast</t>
  </si>
  <si>
    <t>FREE CASH FLOW TO FIRM (FCFF)</t>
  </si>
  <si>
    <t xml:space="preserve">    Less: Tax on EBIT</t>
  </si>
  <si>
    <t>NOPAT</t>
  </si>
  <si>
    <t xml:space="preserve">    Add: D&amp;A</t>
  </si>
  <si>
    <t xml:space="preserve">    Less: Capex</t>
  </si>
  <si>
    <t xml:space="preserve">    Working Capital Detail:</t>
  </si>
  <si>
    <t xml:space="preserve">        Accounts Receivable (Days × Rev/365)</t>
  </si>
  <si>
    <t xml:space="preserve">        Inventory (Days × Rev/365)</t>
  </si>
  <si>
    <t xml:space="preserve">        Accounts Payable (Days × Rev/365)</t>
  </si>
  <si>
    <t xml:space="preserve">        Net Working Capital Balance</t>
  </si>
  <si>
    <t xml:space="preserve">    Change in NWC</t>
  </si>
  <si>
    <t>CAPEX ANALYSIS</t>
  </si>
  <si>
    <t>Capex as % Revenue</t>
  </si>
  <si>
    <t>Capex / D&amp;A (&gt;1 = growth capex)</t>
  </si>
  <si>
    <t>JET2 PLC — DCF VALUATION (£m)</t>
  </si>
  <si>
    <t>FCFF discounted at WACC | Gordon Growth terminal value | EV bridge to equity value</t>
  </si>
  <si>
    <t>Terminal</t>
  </si>
  <si>
    <t>Total</t>
  </si>
  <si>
    <t>DISCOUNTED CASH FLOWS</t>
  </si>
  <si>
    <t>FCFF (£m)</t>
  </si>
  <si>
    <t>Period (t)</t>
  </si>
  <si>
    <t>5</t>
  </si>
  <si>
    <t>Discount Factor  [1/(1+WACC)^t]</t>
  </si>
  <si>
    <t>PV of FCFF (£m)</t>
  </si>
  <si>
    <t>TERMINAL VALUE (Gordon Growth Method)</t>
  </si>
  <si>
    <t>Terminal FCFF (FY2030 × (1+g))</t>
  </si>
  <si>
    <t xml:space="preserve">  FCFFn x (1+g)</t>
  </si>
  <si>
    <t xml:space="preserve">  From WACC tab</t>
  </si>
  <si>
    <t>Terminal Growth Rate (g)</t>
  </si>
  <si>
    <t xml:space="preserve">  From Assumptions tab</t>
  </si>
  <si>
    <t>Terminal Value  [TV = FCFFn+1 / (WACC − g)]</t>
  </si>
  <si>
    <t>PV of Terminal Value  [TV / (1+WACC)^5]</t>
  </si>
  <si>
    <t>ENTERPRISE VALUE BRIDGE</t>
  </si>
  <si>
    <t>Sum of PV of FCFFs (FY2026–30)</t>
  </si>
  <si>
    <t>PV of Terminal Value</t>
  </si>
  <si>
    <t>Enterprise Value (EV)</t>
  </si>
  <si>
    <t xml:space="preserve">  Less: Net Debt / Add: Net Cash</t>
  </si>
  <si>
    <t>Equity Value</t>
  </si>
  <si>
    <t xml:space="preserve">  Shares Outstanding (m)</t>
  </si>
  <si>
    <t>Implied Upside / (Downside)</t>
  </si>
  <si>
    <t>VALUATION METRICS &amp; CHECKS</t>
  </si>
  <si>
    <t>TV as % of Enterprise Value</t>
  </si>
  <si>
    <t>Target: 50–80% (typical aviation)</t>
  </si>
  <si>
    <t>EV / FY2025A Revenue (x)</t>
  </si>
  <si>
    <t>Peer range: 0.4–0.8x</t>
  </si>
  <si>
    <t>EV / FY2025A EBITDA (x)</t>
  </si>
  <si>
    <t>Peer range: 4–8x</t>
  </si>
  <si>
    <t>Implied P/E (FY2025A)</t>
  </si>
  <si>
    <t>EPS FY25A est. ~£2.20</t>
  </si>
  <si>
    <t>WACC − g (Terminal spread)</t>
  </si>
  <si>
    <t>Should be &gt;3% to avoid TV explosion</t>
  </si>
  <si>
    <t>SENSITIVITY ANALYSIS — IMPLIED SHARE PRICE (£)</t>
  </si>
  <si>
    <t>Green = above current price £12.60 | Red = below | Amber = base case (WACC 9.0%, TGR 2.5%)</t>
  </si>
  <si>
    <t>TABLE 1: WACC vs Terminal Growth Rate</t>
  </si>
  <si>
    <t>WACC \ TGR</t>
  </si>
  <si>
    <t>TABLE 2: WACC vs EBIT Margin (FY2026E)</t>
  </si>
  <si>
    <t>WACC \ EBIT Mg</t>
  </si>
  <si>
    <t>Note: Amber = base case | Green = above current price £12.60 | Red = below</t>
  </si>
  <si>
    <t>SCENARIO ANALYSIS — JET2 PLC</t>
  </si>
  <si>
    <t>Base | Bull | Bear — key assumptions and valuation outputs</t>
  </si>
  <si>
    <t>ASSUMPTION</t>
  </si>
  <si>
    <t>BASE CASE</t>
  </si>
  <si>
    <t>BULL CASE</t>
  </si>
  <si>
    <t>BEAR CASE</t>
  </si>
  <si>
    <t>Revenue CAGR (FY25–30)</t>
  </si>
  <si>
    <t>~6.5%</t>
  </si>
  <si>
    <t>~8.5%</t>
  </si>
  <si>
    <t>~4.5%</t>
  </si>
  <si>
    <t>EBIT Margin FY2030E</t>
  </si>
  <si>
    <t>7.2%</t>
  </si>
  <si>
    <t>8.5%</t>
  </si>
  <si>
    <t>5.5%</t>
  </si>
  <si>
    <t>9.0%</t>
  </si>
  <si>
    <t>8.0%</t>
  </si>
  <si>
    <t>10.0%</t>
  </si>
  <si>
    <t>2.5%</t>
  </si>
  <si>
    <t>3.0%</t>
  </si>
  <si>
    <t>2.0%</t>
  </si>
  <si>
    <t>Capex % Revenue</t>
  </si>
  <si>
    <t>5.6%</t>
  </si>
  <si>
    <t>5.0%</t>
  </si>
  <si>
    <t>7.0%</t>
  </si>
  <si>
    <t>£22.18</t>
  </si>
  <si>
    <t>£47.26</t>
  </si>
  <si>
    <t>£5.68</t>
  </si>
  <si>
    <t>EV (£m)</t>
  </si>
  <si>
    <t>£3,884m</t>
  </si>
  <si>
    <t>£8,981m</t>
  </si>
  <si>
    <t>£531m</t>
  </si>
  <si>
    <t>Upside / (Downside)</t>
  </si>
  <si>
    <t>76.0%</t>
  </si>
  <si>
    <t>275.1%</t>
  </si>
  <si>
    <t>COMPARABLE COMPANY ANALYSIS — EUROPEAN LEISURE &amp; LOW-COST AIRLINES</t>
  </si>
  <si>
    <t>Source: Yahoo Finance / public filings, March 2026 estimates | NTM = Next Twelve Months</t>
  </si>
  <si>
    <t>Company</t>
  </si>
  <si>
    <t>Rev (£m)</t>
  </si>
  <si>
    <t>EBITDA (£m)</t>
  </si>
  <si>
    <t>EV/Rev</t>
  </si>
  <si>
    <t>EV/EBITDA</t>
  </si>
  <si>
    <t>P/E</t>
  </si>
  <si>
    <t>Ryanair Holdings</t>
  </si>
  <si>
    <t>n/m</t>
  </si>
  <si>
    <t>ULCC; highest margins in sector</t>
  </si>
  <si>
    <t>easyJet plc</t>
  </si>
  <si>
    <t>UK LCC; comparable leisure focus</t>
  </si>
  <si>
    <t>Wizz Air Holdings</t>
  </si>
  <si>
    <t>CEE-focused ULCC</t>
  </si>
  <si>
    <t>TUI AG</t>
  </si>
  <si>
    <t>Integrated tour operator; closest peer</t>
  </si>
  <si>
    <t>Int'l Airlines Group</t>
  </si>
  <si>
    <t>BA/Iberia; legacy; diff. model</t>
  </si>
  <si>
    <t>Peer Median</t>
  </si>
  <si>
    <t>Peer Mean</t>
  </si>
  <si>
    <t>JET2 PLC (DCF implied)</t>
  </si>
  <si>
    <t>→ DCF</t>
  </si>
  <si>
    <t>Our DCF valuation</t>
  </si>
  <si>
    <t>Note: All figures in £m. EV and estimates sourced from Yahoo Finance / public filings. Jet2 figures from FY2025A annual report.</t>
  </si>
  <si>
    <t>MODEL INTEGRITY CHECKS</t>
  </si>
  <si>
    <t>All checks should show ✓ PASS | Red = error requiring investigation</t>
  </si>
  <si>
    <t>CHECK</t>
  </si>
  <si>
    <t>Status</t>
  </si>
  <si>
    <t>Threshold</t>
  </si>
  <si>
    <t>WACC &gt; Terminal Growth Rate (prevents TV explosion)</t>
  </si>
  <si>
    <t>&gt;0 required</t>
  </si>
  <si>
    <t>Terminal Value as % of EV (50–80% is standard)</t>
  </si>
  <si>
    <t>40–90% acceptable</t>
  </si>
  <si>
    <t>Equity Weights Sum to 100%</t>
  </si>
  <si>
    <t>Must equal 1.00x</t>
  </si>
  <si>
    <t>FCFF Positive in Forecast Period (FY2026E+)</t>
  </si>
  <si>
    <t>Revenue Growing (FY26 &gt; FY25)</t>
  </si>
  <si>
    <t>Capex &gt; D&amp;A (growth capex — expected for Jet2)</t>
  </si>
  <si>
    <t>&gt;1.0x expected</t>
  </si>
  <si>
    <t>Implied Share Price Positive</t>
  </si>
  <si>
    <t>WACC in Reasonable Range (7–12%)</t>
  </si>
  <si>
    <t>7–12% expected</t>
  </si>
  <si>
    <t>INVESTMENT MEMO — JET2 PLC (LON: JET2)</t>
  </si>
  <si>
    <t>COMPANY</t>
  </si>
  <si>
    <t>Business</t>
  </si>
  <si>
    <t>Jet2 plc is the UK's leading vertically integrated leisure travel group, operating Jet2.com (scheduled flights) and Jet2holidays (ATOL-licensed package tours). The group carries 22.3m passengers p.a. to Mediterranean, Canary Islands and European city destinations from 10 UK bases. Listed on AIM (LON: JET2). FY2025A revenue: £7.2bn.</t>
  </si>
  <si>
    <t>Recent Performance</t>
  </si>
  <si>
    <t>Revenue CAGR of 19% over 3 years (FY22–25) driven by post-COVID demand recovery and strategic capacity expansion. EBIT has grown from £394m to £447m despite fuel headwinds. Net cash position of £624m at FY25 year-end provides balance sheet resilience.</t>
  </si>
  <si>
    <t>INVESTMENT THESIS</t>
  </si>
  <si>
    <t>Thesis Statement</t>
  </si>
  <si>
    <t>Jet2 offers a differentiated, execution-driven leisure travel model with structural tailwinds. The business is vertically integrated, highly cash generative, and is investing in long-term capacity via a 146 A321neo order (through 2035) that will drive unit cost reduction. The stock appears undervalued relative to DCF intrinsic value.</t>
  </si>
  <si>
    <t>Key Bull Points</t>
  </si>
  <si>
    <t>Key Bear Points</t>
  </si>
  <si>
    <t>VALUATION</t>
  </si>
  <si>
    <t>Methodology</t>
  </si>
  <si>
    <t>5-year FCFF discounted cash flow model. WACC built using CAPM (Rf = 4.3%, β = 1.25, ERP = 5.5%). Terminal value calculated using Gordon Growth perpetuity method (g = 2.5%). EV bridged to equity value using FY2025A net cash of £624m and 203.2m diluted shares outstanding.</t>
  </si>
  <si>
    <t>Key Assumptions</t>
  </si>
  <si>
    <t>Revenue driven by seats flown × average revenue per seat. EBIT margin expands from 6.6% (FY26E) to 7.2% (FY30E) as A321neo cost savings materialise. Capex at 5.6% of revenue; D&amp;A at 3.9%. Base case WACC: ~9.0%.</t>
  </si>
  <si>
    <t>Cross-Check</t>
  </si>
  <si>
    <t>Peer EV/EBITDA range: 4–8x. Peer EV/Revenue range: 0.4–0.8x. Our implied multiples should be benchmarked against the Comparables tab to ensure valuation is anchored in market reality, not just model assumptions.</t>
  </si>
  <si>
    <t>Sensitivity analysis shows the valuation is most sensitive to WACC and terminal growth rate. See Sensitivity tab for full WACC × TGR matrix and WACC × EBIT margin matrix.</t>
  </si>
  <si>
    <t>KEY RISKS</t>
  </si>
  <si>
    <t>Macro / Cyclical</t>
  </si>
  <si>
    <t>Recession risk reducing discretionary travel; oil price spike (Jet2 partially hedged); GBP weakness increasing USD-denominated costs (fuel, leases).</t>
  </si>
  <si>
    <t>Regulatory</t>
  </si>
  <si>
    <t>Carbon pricing escalation; SAF blending mandate costs (est. 2–5% revenue impact by 2030); Air Passenger Duty increases.</t>
  </si>
  <si>
    <t>Operational</t>
  </si>
  <si>
    <t>Airspace congestion and ATC strike risk; aircraft delivery delays from Airbus; IT failure at peak booking season.</t>
  </si>
  <si>
    <t>Financial</t>
  </si>
  <si>
    <t>Lease liability growth under IFRS 16; refinancing risk on maturing debt facilities; covenant headroom under stress scenario.</t>
  </si>
  <si>
    <t>CONCLUSION</t>
  </si>
  <si>
    <t>Recommendation</t>
  </si>
  <si>
    <t>Subject to sensitivity and scenario outcomes — see DCF Valuation and Sensitivity tabs. The base case implies [see DCF tab for live implied price]. The investment case rests on continued execution of capacity growth, A321neo cost delivery, and resilience of UK leisure demand.</t>
  </si>
  <si>
    <t>DATA SOURCES</t>
  </si>
  <si>
    <t>Sources</t>
  </si>
  <si>
    <t>Jet2 plc Annual Reports FY2023, FY2024, FY2025 | Jet2 Preliminary Results announcements | Yahoo Finance (share price, peer data) | Damodaran Online (beta, ERP) | UK DMO (risk-free rate) | Company investor relations materials</t>
  </si>
  <si>
    <t>Summary of key outputs | All values linked from model tabs | Analyst: Yassin Al-Yassin | Jan 2026</t>
  </si>
  <si>
    <t>Prepared by: Yassin Al-Yassin  |  Date: Jan 2026  |  Methodology: 5-year FCFF DCF, Gordon Growth TV, Comps cross-check</t>
  </si>
  <si>
    <t>1. Structural shift to package holidays post-COVID benefits Jet2holidays (72% of passengers). 2. A321neo fleet (more fuel-efficient, larger seats) drives 15–18% unit cost improvement per seat. 3. Net cash balance of £624m provides downside protection, funds capex, and enables opportunistic capacity deployment. 4. Management track record, consistent execution, no profit warnings, conservative guidance. 5. UK leisure travel structurally underpenetrated vs. European peers.</t>
  </si>
  <si>
    <t>1. Aviation is highly cyclical: fuel price spikes, FX (USD costs, GBP revenues), and consumer confidence all drive earnings volatility. 2. Capex intensity rising with A321neo deliveries, FCF conversion may be suppressed through FY2027–28. 3. Competitive pressure from easyJet, TUI, and online travel aggregators. 4. Regulatory and ESG costs increasing: SAF blending mandates, carbon pricing, and APD risk. 5. Rising IFRS 16 lease liabilities on balance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</si>
</sst>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0.0%"/>
    <numFmt numFmtId="166" formatCode="#,##0.0"/>
    <numFmt numFmtId="167" formatCode="0.00\x"/>
    <numFmt numFmtId="168" formatCode="0.0\x"/>
    <numFmt numFmtId="169" formatCode="0.0000"/>
  </numFmts>
  <fonts count="25" x14ac:knownFonts="1">
    <font>
      <sz val="11"/>
      <color theme="1"/>
      <name val="Calibri"/>
      <family val="2"/>
      <charset val="1"/>
    </font>
    <font>
      <b/>
      <sz val="13"/>
      <color rgb="FFFFFFFF"/>
      <name val="Arial"/>
      <charset val="1"/>
    </font>
    <font>
      <i/>
      <sz val="8"/>
      <color rgb="FF808080"/>
      <name val="Arial"/>
      <charset val="1"/>
    </font>
    <font>
      <b/>
      <sz val="9"/>
      <color rgb="FFFFFFFF"/>
      <name val="Arial"/>
      <charset val="1"/>
    </font>
    <font>
      <b/>
      <sz val="9"/>
      <color rgb="FF1F3C6B"/>
      <name val="Arial"/>
      <charset val="1"/>
    </font>
    <font>
      <b/>
      <sz val="9"/>
      <color rgb="FF008000"/>
      <name val="Arial"/>
      <charset val="1"/>
    </font>
    <font>
      <sz val="9"/>
      <color rgb="FF404040"/>
      <name val="Arial"/>
      <charset val="1"/>
    </font>
    <font>
      <sz val="9"/>
      <color rgb="FF008000"/>
      <name val="Arial"/>
      <charset val="1"/>
    </font>
    <font>
      <sz val="9"/>
      <color rgb="FF000000"/>
      <name val="Arial"/>
      <charset val="1"/>
    </font>
    <font>
      <b/>
      <sz val="9"/>
      <color rgb="FFFF0000"/>
      <name val="Arial"/>
      <charset val="1"/>
    </font>
    <font>
      <b/>
      <sz val="9"/>
      <color rgb="FF404040"/>
      <name val="Arial"/>
      <charset val="1"/>
    </font>
    <font>
      <i/>
      <sz val="9"/>
      <color rgb="FF404040"/>
      <name val="Arial"/>
      <charset val="1"/>
    </font>
    <font>
      <i/>
      <sz val="9"/>
      <color rgb="FF008000"/>
      <name val="Arial"/>
      <charset val="1"/>
    </font>
    <font>
      <i/>
      <sz val="9"/>
      <color rgb="FFFF0000"/>
      <name val="Arial"/>
      <charset val="1"/>
    </font>
    <font>
      <b/>
      <sz val="10"/>
      <color rgb="FF1F3C6B"/>
      <name val="Arial"/>
      <charset val="1"/>
    </font>
    <font>
      <sz val="8"/>
      <color rgb="FF0000FF"/>
      <name val="Arial"/>
      <charset val="1"/>
    </font>
    <font>
      <sz val="8"/>
      <color rgb="FF000000"/>
      <name val="Arial"/>
      <charset val="1"/>
    </font>
    <font>
      <sz val="8"/>
      <color rgb="FF008000"/>
      <name val="Arial"/>
      <charset val="1"/>
    </font>
    <font>
      <sz val="9"/>
      <color rgb="FF0000FF"/>
      <name val="Arial"/>
      <charset val="1"/>
    </font>
    <font>
      <i/>
      <sz val="8"/>
      <color rgb="FF008000"/>
      <name val="Arial"/>
      <charset val="1"/>
    </font>
    <font>
      <b/>
      <sz val="9"/>
      <color rgb="FF000000"/>
      <name val="Arial"/>
      <charset val="1"/>
    </font>
    <font>
      <sz val="8"/>
      <color rgb="FF808080"/>
      <name val="Arial"/>
      <charset val="1"/>
    </font>
    <font>
      <sz val="9"/>
      <color rgb="FF808080"/>
      <name val="Arial"/>
      <charset val="1"/>
    </font>
    <font>
      <i/>
      <sz val="9"/>
      <color rgb="FF808080"/>
      <name val="Arial"/>
      <charset val="1"/>
    </font>
    <font>
      <b/>
      <sz val="9"/>
      <name val="Arial"/>
      <charset val="1"/>
    </font>
  </fonts>
  <fills count="11">
    <fill>
      <patternFill patternType="none"/>
    </fill>
    <fill>
      <patternFill patternType="gray125"/>
    </fill>
    <fill>
      <patternFill patternType="solid">
        <fgColor rgb="FF1F3C6B"/>
        <bgColor rgb="FF404040"/>
      </patternFill>
    </fill>
    <fill>
      <patternFill patternType="solid">
        <fgColor rgb="FFFFFFFF"/>
        <bgColor rgb="FFF2F2F2"/>
      </patternFill>
    </fill>
    <fill>
      <patternFill patternType="solid">
        <fgColor rgb="FFD9E2F3"/>
        <bgColor rgb="FFE2EFDA"/>
      </patternFill>
    </fill>
    <fill>
      <patternFill patternType="solid">
        <fgColor rgb="FFF2F2F2"/>
        <bgColor rgb="FFEBF3FB"/>
      </patternFill>
    </fill>
    <fill>
      <patternFill patternType="solid">
        <fgColor rgb="FFEBF3FB"/>
        <bgColor rgb="FFF2F2F2"/>
      </patternFill>
    </fill>
    <fill>
      <patternFill patternType="solid">
        <fgColor rgb="FFE2EFDA"/>
        <bgColor rgb="FFF2F2F2"/>
      </patternFill>
    </fill>
    <fill>
      <patternFill patternType="solid">
        <fgColor rgb="FFFFE0E0"/>
        <bgColor rgb="FFF2F2F2"/>
      </patternFill>
    </fill>
    <fill>
      <patternFill patternType="solid">
        <fgColor rgb="FFFFC000"/>
        <bgColor rgb="FFFF9900"/>
      </patternFill>
    </fill>
    <fill>
      <patternFill patternType="solid">
        <fgColor rgb="FFB4C7E7"/>
        <bgColor rgb="FF99CCFF"/>
      </patternFill>
    </fill>
  </fills>
  <borders count="5">
    <border>
      <left/>
      <right/>
      <top/>
      <bottom/>
      <diagonal/>
    </border>
    <border>
      <left/>
      <right/>
      <top/>
      <bottom style="medium">
        <color rgb="FF2E5496"/>
      </bottom>
      <diagonal/>
    </border>
    <border>
      <left/>
      <right/>
      <top/>
      <bottom style="medium">
        <color rgb="FF1F3C6B"/>
      </bottom>
      <diagonal/>
    </border>
    <border>
      <left/>
      <right/>
      <top style="medium">
        <color rgb="FF1F3C6B"/>
      </top>
      <bottom/>
      <diagonal/>
    </border>
    <border>
      <left/>
      <right/>
      <top style="medium">
        <color rgb="FF1F3C6B"/>
      </top>
      <bottom style="medium">
        <color rgb="FF1F3C6B"/>
      </bottom>
      <diagonal/>
    </border>
  </borders>
  <cellStyleXfs count="1">
    <xf numFmtId="0" fontId="0" fillId="0" borderId="0"/>
  </cellStyleXfs>
  <cellXfs count="108">
    <xf numFmtId="0" fontId="0" fillId="0" borderId="0" xfId="0"/>
    <xf numFmtId="0" fontId="14" fillId="0" borderId="0" xfId="0" applyFont="1" applyAlignment="1">
      <alignment horizontal="left" vertical="center"/>
    </xf>
    <xf numFmtId="0" fontId="2" fillId="0" borderId="0" xfId="0" applyFont="1" applyAlignment="1">
      <alignment horizontal="left" vertical="center"/>
    </xf>
    <xf numFmtId="0" fontId="0" fillId="0" borderId="0" xfId="0"/>
    <xf numFmtId="0" fontId="3" fillId="2" borderId="0" xfId="0" applyFont="1" applyFill="1" applyAlignment="1">
      <alignment horizontal="left" vertical="center"/>
    </xf>
    <xf numFmtId="0" fontId="2" fillId="3" borderId="0" xfId="0" applyFont="1" applyFill="1" applyAlignment="1">
      <alignment horizontal="left" vertical="center"/>
    </xf>
    <xf numFmtId="0" fontId="1" fillId="2" borderId="0" xfId="0" applyFont="1" applyFill="1" applyAlignment="1">
      <alignment horizontal="left" vertical="center"/>
    </xf>
    <xf numFmtId="0" fontId="3" fillId="2" borderId="0" xfId="0" applyFont="1" applyFill="1" applyAlignment="1">
      <alignment horizontal="left" vertical="center"/>
    </xf>
    <xf numFmtId="0" fontId="4" fillId="4" borderId="0" xfId="0" applyFont="1" applyFill="1" applyAlignment="1">
      <alignment horizontal="left" vertical="center"/>
    </xf>
    <xf numFmtId="3" fontId="5" fillId="3" borderId="0" xfId="0" applyNumberFormat="1" applyFont="1" applyFill="1" applyAlignment="1">
      <alignment horizontal="right" vertical="center"/>
    </xf>
    <xf numFmtId="164" fontId="5" fillId="3" borderId="0" xfId="0" applyNumberFormat="1" applyFont="1" applyFill="1" applyAlignment="1">
      <alignment horizontal="right" vertical="center"/>
    </xf>
    <xf numFmtId="165" fontId="5" fillId="3" borderId="0" xfId="0" applyNumberFormat="1" applyFont="1" applyFill="1" applyAlignment="1">
      <alignment horizontal="right" vertical="center"/>
    </xf>
    <xf numFmtId="10" fontId="5" fillId="3" borderId="0" xfId="0" applyNumberFormat="1" applyFont="1" applyFill="1" applyAlignment="1">
      <alignment horizontal="right" vertical="center"/>
    </xf>
    <xf numFmtId="0" fontId="4" fillId="4" borderId="0" xfId="0" applyFont="1" applyFill="1" applyAlignment="1">
      <alignment horizontal="center" vertical="center"/>
    </xf>
    <xf numFmtId="0" fontId="6" fillId="3" borderId="0" xfId="0" applyFont="1" applyFill="1" applyAlignment="1">
      <alignment horizontal="left" vertical="center"/>
    </xf>
    <xf numFmtId="166" fontId="6" fillId="5" borderId="0" xfId="0" applyNumberFormat="1" applyFont="1" applyFill="1" applyAlignment="1">
      <alignment horizontal="right" vertical="center"/>
    </xf>
    <xf numFmtId="166" fontId="7" fillId="6" borderId="0" xfId="0" applyNumberFormat="1" applyFont="1" applyFill="1" applyAlignment="1">
      <alignment horizontal="right" vertical="center"/>
    </xf>
    <xf numFmtId="165" fontId="6" fillId="5" borderId="0" xfId="0" applyNumberFormat="1" applyFont="1" applyFill="1" applyAlignment="1">
      <alignment horizontal="right" vertical="center"/>
    </xf>
    <xf numFmtId="165" fontId="7" fillId="6" borderId="0" xfId="0" applyNumberFormat="1" applyFont="1" applyFill="1" applyAlignment="1">
      <alignment horizontal="right" vertical="center"/>
    </xf>
    <xf numFmtId="0" fontId="8" fillId="5" borderId="0" xfId="0" applyFont="1" applyFill="1" applyAlignment="1">
      <alignment horizontal="left" vertical="center"/>
    </xf>
    <xf numFmtId="0" fontId="4" fillId="6" borderId="0" xfId="0" applyFont="1" applyFill="1" applyAlignment="1">
      <alignment horizontal="center" vertical="center"/>
    </xf>
    <xf numFmtId="0" fontId="5" fillId="7" borderId="0" xfId="0" applyFont="1" applyFill="1" applyAlignment="1">
      <alignment horizontal="center" vertical="center"/>
    </xf>
    <xf numFmtId="0" fontId="9" fillId="8" borderId="0" xfId="0" applyFont="1" applyFill="1" applyAlignment="1">
      <alignment horizontal="center" vertical="center"/>
    </xf>
    <xf numFmtId="0" fontId="10" fillId="3" borderId="0" xfId="0" applyFont="1" applyFill="1" applyAlignment="1">
      <alignment horizontal="left" vertical="center"/>
    </xf>
    <xf numFmtId="164" fontId="4" fillId="6" borderId="0" xfId="0" applyNumberFormat="1" applyFont="1" applyFill="1" applyAlignment="1">
      <alignment horizontal="center" vertical="center"/>
    </xf>
    <xf numFmtId="164" fontId="5" fillId="7" borderId="0" xfId="0" applyNumberFormat="1" applyFont="1" applyFill="1" applyAlignment="1">
      <alignment horizontal="center" vertical="center"/>
    </xf>
    <xf numFmtId="164" fontId="9" fillId="8" borderId="0" xfId="0" applyNumberFormat="1" applyFont="1" applyFill="1" applyAlignment="1">
      <alignment horizontal="center" vertical="center"/>
    </xf>
    <xf numFmtId="0" fontId="11" fillId="3" borderId="0" xfId="0" applyFont="1" applyFill="1" applyAlignment="1">
      <alignment horizontal="left" vertical="center"/>
    </xf>
    <xf numFmtId="0" fontId="12" fillId="7" borderId="0" xfId="0" applyFont="1" applyFill="1" applyAlignment="1">
      <alignment horizontal="center" vertical="center"/>
    </xf>
    <xf numFmtId="0" fontId="13" fillId="8" borderId="0" xfId="0" applyFont="1" applyFill="1" applyAlignment="1">
      <alignment horizontal="center" vertical="center"/>
    </xf>
    <xf numFmtId="0" fontId="5" fillId="7" borderId="0" xfId="0" applyFont="1" applyFill="1" applyAlignment="1">
      <alignment horizontal="left" vertical="center"/>
    </xf>
    <xf numFmtId="0" fontId="2" fillId="0" borderId="0" xfId="0" applyFont="1" applyAlignment="1">
      <alignment horizontal="left" vertical="center"/>
    </xf>
    <xf numFmtId="0" fontId="14" fillId="0" borderId="0" xfId="0" applyFont="1" applyAlignment="1">
      <alignment horizontal="left" vertical="center"/>
    </xf>
    <xf numFmtId="0" fontId="4" fillId="0" borderId="0" xfId="0" applyFont="1" applyAlignment="1">
      <alignment horizontal="left" vertical="center"/>
    </xf>
    <xf numFmtId="0" fontId="15" fillId="0" borderId="0" xfId="0" applyFont="1" applyAlignment="1">
      <alignment horizontal="left" vertical="center"/>
    </xf>
    <xf numFmtId="0" fontId="16" fillId="0" borderId="0" xfId="0" applyFont="1" applyAlignment="1">
      <alignment horizontal="left" vertical="center"/>
    </xf>
    <xf numFmtId="0" fontId="17" fillId="0" borderId="0" xfId="0" applyFont="1" applyAlignment="1">
      <alignment horizontal="left" vertical="center"/>
    </xf>
    <xf numFmtId="165" fontId="18" fillId="3" borderId="0" xfId="0" applyNumberFormat="1" applyFont="1" applyFill="1" applyAlignment="1">
      <alignment horizontal="right" vertical="center"/>
    </xf>
    <xf numFmtId="0" fontId="19" fillId="3" borderId="0" xfId="0" applyFont="1" applyFill="1" applyAlignment="1">
      <alignment horizontal="right" vertical="center"/>
    </xf>
    <xf numFmtId="0" fontId="20" fillId="4" borderId="0" xfId="0" applyFont="1" applyFill="1" applyAlignment="1">
      <alignment horizontal="left" vertical="center"/>
    </xf>
    <xf numFmtId="0" fontId="20" fillId="4" borderId="0" xfId="0" applyFont="1" applyFill="1" applyAlignment="1">
      <alignment horizontal="center" vertical="center"/>
    </xf>
    <xf numFmtId="166" fontId="18" fillId="3" borderId="0" xfId="0" applyNumberFormat="1" applyFont="1" applyFill="1" applyAlignment="1">
      <alignment horizontal="right" vertical="center"/>
    </xf>
    <xf numFmtId="1" fontId="18" fillId="3" borderId="0" xfId="0" applyNumberFormat="1" applyFont="1" applyFill="1" applyAlignment="1">
      <alignment horizontal="right" vertical="center"/>
    </xf>
    <xf numFmtId="0" fontId="18" fillId="3" borderId="0" xfId="0" applyFont="1" applyFill="1" applyAlignment="1">
      <alignment horizontal="right" vertical="center"/>
    </xf>
    <xf numFmtId="10" fontId="7" fillId="3" borderId="0" xfId="0" applyNumberFormat="1" applyFont="1" applyFill="1" applyAlignment="1">
      <alignment horizontal="right" vertical="center"/>
    </xf>
    <xf numFmtId="10" fontId="20" fillId="4" borderId="0" xfId="0" applyNumberFormat="1" applyFont="1" applyFill="1" applyAlignment="1">
      <alignment horizontal="right" vertical="center"/>
    </xf>
    <xf numFmtId="167" fontId="8" fillId="3" borderId="0" xfId="0" applyNumberFormat="1" applyFont="1" applyFill="1" applyAlignment="1">
      <alignment horizontal="right" vertical="center"/>
    </xf>
    <xf numFmtId="165" fontId="4" fillId="4" borderId="0" xfId="0" applyNumberFormat="1" applyFont="1" applyFill="1" applyAlignment="1">
      <alignment horizontal="center" vertical="center"/>
    </xf>
    <xf numFmtId="2" fontId="4" fillId="4" borderId="0" xfId="0" applyNumberFormat="1" applyFont="1" applyFill="1" applyAlignment="1">
      <alignment horizontal="center" vertical="center"/>
    </xf>
    <xf numFmtId="10" fontId="8" fillId="5" borderId="0" xfId="0" applyNumberFormat="1" applyFont="1" applyFill="1" applyAlignment="1">
      <alignment horizontal="center" vertical="center"/>
    </xf>
    <xf numFmtId="10" fontId="4" fillId="9" borderId="0" xfId="0" applyNumberFormat="1" applyFont="1" applyFill="1" applyAlignment="1">
      <alignment horizontal="center" vertical="center"/>
    </xf>
    <xf numFmtId="0" fontId="10" fillId="5" borderId="1" xfId="0" applyFont="1" applyFill="1" applyBorder="1" applyAlignment="1">
      <alignment horizontal="center" vertical="center"/>
    </xf>
    <xf numFmtId="0" fontId="4" fillId="6" borderId="1" xfId="0" applyFont="1" applyFill="1" applyBorder="1" applyAlignment="1">
      <alignment horizontal="center" vertical="center"/>
    </xf>
    <xf numFmtId="166" fontId="8" fillId="6" borderId="0" xfId="0" applyNumberFormat="1" applyFont="1" applyFill="1" applyAlignment="1">
      <alignment horizontal="right" vertical="center"/>
    </xf>
    <xf numFmtId="166" fontId="10" fillId="5" borderId="2" xfId="0" applyNumberFormat="1" applyFont="1" applyFill="1" applyBorder="1" applyAlignment="1">
      <alignment horizontal="right" vertical="center"/>
    </xf>
    <xf numFmtId="166" fontId="20" fillId="6" borderId="2" xfId="0" applyNumberFormat="1" applyFont="1" applyFill="1" applyBorder="1" applyAlignment="1">
      <alignment horizontal="right" vertical="center"/>
    </xf>
    <xf numFmtId="0" fontId="21" fillId="0" borderId="0" xfId="0" applyFont="1" applyAlignment="1">
      <alignment horizontal="right" vertical="center"/>
    </xf>
    <xf numFmtId="165" fontId="22" fillId="5" borderId="0" xfId="0" applyNumberFormat="1" applyFont="1" applyFill="1" applyAlignment="1">
      <alignment horizontal="right" vertical="center"/>
    </xf>
    <xf numFmtId="165" fontId="22" fillId="6" borderId="0" xfId="0" applyNumberFormat="1" applyFont="1" applyFill="1" applyAlignment="1">
      <alignment horizontal="right" vertical="center"/>
    </xf>
    <xf numFmtId="166" fontId="20" fillId="5" borderId="3" xfId="0" applyNumberFormat="1" applyFont="1" applyFill="1" applyBorder="1" applyAlignment="1">
      <alignment horizontal="right" vertical="center"/>
    </xf>
    <xf numFmtId="166" fontId="20" fillId="6" borderId="3" xfId="0" applyNumberFormat="1" applyFont="1" applyFill="1" applyBorder="1" applyAlignment="1">
      <alignment horizontal="right" vertical="center"/>
    </xf>
    <xf numFmtId="166" fontId="20" fillId="5" borderId="0" xfId="0" applyNumberFormat="1" applyFont="1" applyFill="1" applyAlignment="1">
      <alignment horizontal="right" vertical="center"/>
    </xf>
    <xf numFmtId="166" fontId="20" fillId="4" borderId="0" xfId="0" applyNumberFormat="1" applyFont="1" applyFill="1" applyAlignment="1">
      <alignment horizontal="right" vertical="center"/>
    </xf>
    <xf numFmtId="166" fontId="20" fillId="5" borderId="4" xfId="0" applyNumberFormat="1" applyFont="1" applyFill="1" applyBorder="1" applyAlignment="1">
      <alignment horizontal="right" vertical="center"/>
    </xf>
    <xf numFmtId="166" fontId="20" fillId="4" borderId="4" xfId="0" applyNumberFormat="1" applyFont="1" applyFill="1" applyBorder="1" applyAlignment="1">
      <alignment horizontal="right" vertical="center"/>
    </xf>
    <xf numFmtId="166" fontId="18" fillId="6" borderId="0" xfId="0" applyNumberFormat="1" applyFont="1" applyFill="1" applyAlignment="1">
      <alignment horizontal="right" vertical="center"/>
    </xf>
    <xf numFmtId="166" fontId="10" fillId="5" borderId="4" xfId="0" applyNumberFormat="1" applyFont="1" applyFill="1" applyBorder="1" applyAlignment="1">
      <alignment horizontal="right" vertical="center"/>
    </xf>
    <xf numFmtId="166" fontId="10" fillId="5" borderId="3" xfId="0" applyNumberFormat="1" applyFont="1" applyFill="1" applyBorder="1" applyAlignment="1">
      <alignment horizontal="right" vertical="center"/>
    </xf>
    <xf numFmtId="166" fontId="20" fillId="4" borderId="3" xfId="0" applyNumberFormat="1" applyFont="1" applyFill="1" applyBorder="1" applyAlignment="1">
      <alignment horizontal="right" vertical="center"/>
    </xf>
    <xf numFmtId="0" fontId="4" fillId="3" borderId="0" xfId="0" applyFont="1" applyFill="1" applyAlignment="1">
      <alignment horizontal="left" vertical="center"/>
    </xf>
    <xf numFmtId="166" fontId="20" fillId="6" borderId="0" xfId="0" applyNumberFormat="1" applyFont="1" applyFill="1" applyAlignment="1">
      <alignment horizontal="right" vertical="center"/>
    </xf>
    <xf numFmtId="166" fontId="8" fillId="5" borderId="0" xfId="0" applyNumberFormat="1" applyFont="1" applyFill="1" applyAlignment="1">
      <alignment horizontal="right" vertical="center"/>
    </xf>
    <xf numFmtId="0" fontId="21" fillId="5" borderId="0" xfId="0" applyFont="1" applyFill="1" applyAlignment="1">
      <alignment horizontal="right" vertical="center"/>
    </xf>
    <xf numFmtId="168" fontId="22" fillId="5" borderId="0" xfId="0" applyNumberFormat="1" applyFont="1" applyFill="1" applyAlignment="1">
      <alignment horizontal="right" vertical="center"/>
    </xf>
    <xf numFmtId="168" fontId="22" fillId="6" borderId="0" xfId="0" applyNumberFormat="1" applyFont="1" applyFill="1" applyAlignment="1">
      <alignment horizontal="right" vertical="center"/>
    </xf>
    <xf numFmtId="0" fontId="8" fillId="0" borderId="0" xfId="0" applyFont="1" applyAlignment="1">
      <alignment horizontal="left" vertical="center"/>
    </xf>
    <xf numFmtId="169" fontId="8" fillId="6" borderId="0" xfId="0" applyNumberFormat="1" applyFont="1" applyFill="1" applyAlignment="1">
      <alignment horizontal="right" vertical="center"/>
    </xf>
    <xf numFmtId="166" fontId="20" fillId="10" borderId="0" xfId="0" applyNumberFormat="1" applyFont="1" applyFill="1" applyAlignment="1">
      <alignment horizontal="right" vertical="center"/>
    </xf>
    <xf numFmtId="166" fontId="8" fillId="3" borderId="0" xfId="0" applyNumberFormat="1" applyFont="1" applyFill="1" applyAlignment="1">
      <alignment horizontal="right" vertical="center"/>
    </xf>
    <xf numFmtId="166" fontId="20" fillId="3" borderId="0" xfId="0" applyNumberFormat="1" applyFont="1" applyFill="1" applyAlignment="1">
      <alignment horizontal="right" vertical="center"/>
    </xf>
    <xf numFmtId="166" fontId="7" fillId="3" borderId="0" xfId="0" applyNumberFormat="1" applyFont="1" applyFill="1" applyAlignment="1">
      <alignment horizontal="right" vertical="center"/>
    </xf>
    <xf numFmtId="164" fontId="3" fillId="10" borderId="0" xfId="0" applyNumberFormat="1" applyFont="1" applyFill="1" applyAlignment="1">
      <alignment horizontal="right" vertical="center"/>
    </xf>
    <xf numFmtId="164" fontId="7" fillId="3" borderId="0" xfId="0" applyNumberFormat="1" applyFont="1" applyFill="1" applyAlignment="1">
      <alignment horizontal="right" vertical="center"/>
    </xf>
    <xf numFmtId="165" fontId="20" fillId="4" borderId="0" xfId="0" applyNumberFormat="1" applyFont="1" applyFill="1" applyAlignment="1">
      <alignment horizontal="right" vertical="center"/>
    </xf>
    <xf numFmtId="165" fontId="22" fillId="3" borderId="0" xfId="0" applyNumberFormat="1" applyFont="1" applyFill="1" applyAlignment="1">
      <alignment horizontal="right" vertical="center"/>
    </xf>
    <xf numFmtId="168" fontId="22" fillId="3" borderId="0" xfId="0" applyNumberFormat="1" applyFont="1" applyFill="1" applyAlignment="1">
      <alignment horizontal="right" vertical="center"/>
    </xf>
    <xf numFmtId="164" fontId="7" fillId="7" borderId="0" xfId="0" applyNumberFormat="1" applyFont="1" applyFill="1" applyAlignment="1">
      <alignment horizontal="center" vertical="center"/>
    </xf>
    <xf numFmtId="164" fontId="4" fillId="9" borderId="0" xfId="0" applyNumberFormat="1"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18" fillId="6" borderId="0" xfId="0" applyFont="1" applyFill="1" applyAlignment="1">
      <alignment horizontal="center" vertical="center"/>
    </xf>
    <xf numFmtId="0" fontId="18" fillId="7" borderId="0" xfId="0" applyFont="1" applyFill="1" applyAlignment="1">
      <alignment horizontal="center" vertical="center"/>
    </xf>
    <xf numFmtId="0" fontId="18" fillId="8" borderId="0" xfId="0" applyFont="1" applyFill="1" applyAlignment="1">
      <alignment horizontal="center" vertical="center"/>
    </xf>
    <xf numFmtId="0" fontId="3" fillId="2" borderId="0" xfId="0" applyFont="1" applyFill="1" applyAlignment="1">
      <alignment horizontal="center" vertical="center"/>
    </xf>
    <xf numFmtId="3" fontId="18" fillId="3" borderId="0" xfId="0" applyNumberFormat="1" applyFont="1" applyFill="1" applyAlignment="1">
      <alignment horizontal="right" vertical="center"/>
    </xf>
    <xf numFmtId="168" fontId="8" fillId="3" borderId="0" xfId="0" applyNumberFormat="1" applyFont="1" applyFill="1" applyAlignment="1">
      <alignment horizontal="right" vertical="center"/>
    </xf>
    <xf numFmtId="0" fontId="23" fillId="3" borderId="0" xfId="0" applyFont="1" applyFill="1" applyAlignment="1">
      <alignment horizontal="center" vertical="center"/>
    </xf>
    <xf numFmtId="0" fontId="10" fillId="5" borderId="0" xfId="0" applyFont="1" applyFill="1" applyAlignment="1">
      <alignment horizontal="left" vertical="center"/>
    </xf>
    <xf numFmtId="0" fontId="22" fillId="5" borderId="0" xfId="0" applyFont="1" applyFill="1" applyAlignment="1">
      <alignment horizontal="center" vertical="center"/>
    </xf>
    <xf numFmtId="168" fontId="20" fillId="5" borderId="0" xfId="0" applyNumberFormat="1" applyFont="1" applyFill="1" applyAlignment="1">
      <alignment horizontal="right" vertical="center"/>
    </xf>
    <xf numFmtId="0" fontId="10" fillId="4" borderId="0" xfId="0" applyFont="1" applyFill="1" applyAlignment="1">
      <alignment horizontal="left" vertical="center"/>
    </xf>
    <xf numFmtId="0" fontId="12" fillId="4" borderId="0" xfId="0" applyFont="1" applyFill="1" applyAlignment="1">
      <alignment horizontal="center" vertical="center"/>
    </xf>
    <xf numFmtId="3" fontId="7" fillId="4" borderId="0" xfId="0" applyNumberFormat="1" applyFont="1" applyFill="1" applyAlignment="1">
      <alignment horizontal="right" vertical="center"/>
    </xf>
    <xf numFmtId="165" fontId="7" fillId="3" borderId="0" xfId="0" applyNumberFormat="1" applyFont="1" applyFill="1" applyAlignment="1">
      <alignment horizontal="right" vertical="center"/>
    </xf>
    <xf numFmtId="0" fontId="24" fillId="0" borderId="0" xfId="0" applyFont="1" applyAlignment="1">
      <alignment horizontal="center" vertical="center"/>
    </xf>
    <xf numFmtId="167" fontId="7" fillId="3" borderId="0" xfId="0" applyNumberFormat="1" applyFont="1" applyFill="1" applyAlignment="1">
      <alignment horizontal="right" vertical="center"/>
    </xf>
    <xf numFmtId="168" fontId="7" fillId="3" borderId="0" xfId="0" applyNumberFormat="1" applyFont="1" applyFill="1" applyAlignment="1">
      <alignment horizontal="right" vertical="center"/>
    </xf>
    <xf numFmtId="0" fontId="6"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2F2F2"/>
      <rgbColor rgb="FFEBF3FB"/>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E0E0"/>
      <rgbColor rgb="FF3366FF"/>
      <rgbColor rgb="FF33CCCC"/>
      <rgbColor rgb="FF99CC00"/>
      <rgbColor rgb="FFFFC000"/>
      <rgbColor rgb="FFFF9900"/>
      <rgbColor rgb="FFFF6600"/>
      <rgbColor rgb="FF666699"/>
      <rgbColor rgb="FF969696"/>
      <rgbColor rgb="FF1F3C6B"/>
      <rgbColor rgb="FF339966"/>
      <rgbColor rgb="FF003300"/>
      <rgbColor rgb="FF333300"/>
      <rgbColor rgb="FF993300"/>
      <rgbColor rgb="FF993366"/>
      <rgbColor rgb="FF2E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showGridLines="0" zoomScaleNormal="100" workbookViewId="0">
      <pane ySplit="3" topLeftCell="A10" activePane="bottomLeft" state="frozen"/>
      <selection pane="bottomLeft" activeCell="A2" sqref="A2:E2"/>
    </sheetView>
  </sheetViews>
  <sheetFormatPr defaultColWidth="8.7109375" defaultRowHeight="15" x14ac:dyDescent="0.25"/>
  <cols>
    <col min="1" max="1" width="28" customWidth="1"/>
    <col min="2" max="5" width="20" customWidth="1"/>
  </cols>
  <sheetData>
    <row r="1" spans="1:5" ht="30" customHeight="1" x14ac:dyDescent="0.25">
      <c r="A1" s="6" t="s">
        <v>0</v>
      </c>
      <c r="B1" s="6"/>
      <c r="C1" s="6"/>
      <c r="D1" s="6"/>
      <c r="E1" s="6"/>
    </row>
    <row r="2" spans="1:5" ht="15" customHeight="1" x14ac:dyDescent="0.25">
      <c r="A2" s="5" t="s">
        <v>365</v>
      </c>
      <c r="B2" s="5"/>
      <c r="C2" s="5"/>
      <c r="D2" s="5"/>
      <c r="E2" s="5"/>
    </row>
    <row r="4" spans="1:5" ht="15" customHeight="1" x14ac:dyDescent="0.25">
      <c r="A4" s="4" t="s">
        <v>1</v>
      </c>
      <c r="B4" s="4"/>
      <c r="C4" s="4"/>
      <c r="D4" s="4"/>
      <c r="E4" s="4"/>
    </row>
    <row r="5" spans="1:5" ht="15" customHeight="1" x14ac:dyDescent="0.25">
      <c r="A5" s="8" t="s">
        <v>2</v>
      </c>
      <c r="B5" s="9">
        <f>'DCF Valuation'!B21</f>
        <v>32216.709030365495</v>
      </c>
      <c r="C5" s="3"/>
      <c r="D5" s="3"/>
      <c r="E5" s="3"/>
    </row>
    <row r="6" spans="1:5" ht="15" customHeight="1" x14ac:dyDescent="0.25">
      <c r="A6" s="8" t="s">
        <v>3</v>
      </c>
      <c r="B6" s="9">
        <f>'DCF Valuation'!B24</f>
        <v>32840.309030365497</v>
      </c>
      <c r="C6" s="3"/>
      <c r="D6" s="3"/>
      <c r="E6" s="3"/>
    </row>
    <row r="7" spans="1:5" ht="15" customHeight="1" x14ac:dyDescent="0.25">
      <c r="A7" s="8" t="s">
        <v>4</v>
      </c>
      <c r="B7" s="10">
        <f>'DCF Valuation'!B26</f>
        <v>161.6156940470743</v>
      </c>
      <c r="C7" s="3"/>
      <c r="D7" s="3"/>
      <c r="E7" s="3"/>
    </row>
    <row r="8" spans="1:5" ht="15" customHeight="1" x14ac:dyDescent="0.25">
      <c r="A8" s="8" t="s">
        <v>5</v>
      </c>
      <c r="B8" s="10">
        <f>Assumptions!B58</f>
        <v>12.6</v>
      </c>
      <c r="C8" s="3"/>
      <c r="D8" s="3"/>
      <c r="E8" s="3"/>
    </row>
    <row r="9" spans="1:5" ht="15" customHeight="1" x14ac:dyDescent="0.25">
      <c r="A9" s="8" t="s">
        <v>6</v>
      </c>
      <c r="B9" s="11">
        <f>'DCF Valuation'!B28</f>
        <v>11.826642384688437</v>
      </c>
      <c r="C9" s="3"/>
      <c r="D9" s="3"/>
      <c r="E9" s="3"/>
    </row>
    <row r="10" spans="1:5" ht="15" customHeight="1" x14ac:dyDescent="0.25">
      <c r="A10" s="8" t="s">
        <v>7</v>
      </c>
      <c r="B10" s="11">
        <f>'DCF Valuation'!B16/'DCF Valuation'!B21</f>
        <v>0.76673881036833824</v>
      </c>
      <c r="C10" s="3"/>
      <c r="D10" s="3"/>
      <c r="E10" s="3"/>
    </row>
    <row r="11" spans="1:5" ht="15" customHeight="1" x14ac:dyDescent="0.25">
      <c r="A11" s="8" t="s">
        <v>8</v>
      </c>
      <c r="B11" s="12">
        <f>WACC!B21</f>
        <v>8.448E-2</v>
      </c>
      <c r="C11" s="3"/>
      <c r="D11" s="3"/>
      <c r="E11" s="3"/>
    </row>
    <row r="12" spans="1:5" ht="15" customHeight="1" x14ac:dyDescent="0.25">
      <c r="A12" s="8" t="s">
        <v>9</v>
      </c>
      <c r="B12" s="12">
        <f>Assumptions!B54</f>
        <v>2.5000000000000001E-2</v>
      </c>
      <c r="C12" s="3"/>
      <c r="D12" s="3"/>
      <c r="E12" s="3"/>
    </row>
    <row r="14" spans="1:5" ht="15" customHeight="1" x14ac:dyDescent="0.25">
      <c r="A14" s="4" t="s">
        <v>10</v>
      </c>
      <c r="B14" s="4"/>
      <c r="C14" s="4"/>
      <c r="D14" s="4"/>
      <c r="E14" s="4"/>
    </row>
    <row r="15" spans="1:5" ht="15" customHeight="1" x14ac:dyDescent="0.25">
      <c r="A15" s="8" t="s">
        <v>11</v>
      </c>
      <c r="B15" s="13" t="s">
        <v>12</v>
      </c>
      <c r="C15" s="13" t="s">
        <v>13</v>
      </c>
      <c r="D15" s="13" t="s">
        <v>14</v>
      </c>
      <c r="E15" s="13" t="s">
        <v>15</v>
      </c>
    </row>
    <row r="16" spans="1:5" ht="15" customHeight="1" x14ac:dyDescent="0.25">
      <c r="A16" s="14" t="s">
        <v>16</v>
      </c>
      <c r="B16" s="15">
        <v>5033.5</v>
      </c>
      <c r="C16" s="15">
        <v>6255.3</v>
      </c>
      <c r="D16" s="15">
        <v>7173.5</v>
      </c>
      <c r="E16" s="16">
        <f>'Income Statement'!E8</f>
        <v>7819.5619000000006</v>
      </c>
    </row>
    <row r="17" spans="1:5" ht="15" customHeight="1" x14ac:dyDescent="0.25">
      <c r="A17" s="14" t="s">
        <v>17</v>
      </c>
      <c r="B17" s="15">
        <v>394</v>
      </c>
      <c r="C17" s="15">
        <v>428.2</v>
      </c>
      <c r="D17" s="15">
        <v>446.5</v>
      </c>
      <c r="E17" s="16">
        <f>'Income Statement'!E21</f>
        <v>2314.5903224000008</v>
      </c>
    </row>
    <row r="18" spans="1:5" ht="15" customHeight="1" x14ac:dyDescent="0.25">
      <c r="A18" s="14" t="s">
        <v>18</v>
      </c>
      <c r="B18" s="17">
        <v>7.8299999999999995E-2</v>
      </c>
      <c r="C18" s="17">
        <v>6.8500000000000005E-2</v>
      </c>
      <c r="D18" s="17">
        <v>6.2300000000000001E-2</v>
      </c>
      <c r="E18" s="18">
        <f>'Income Statement'!E21/'Income Statement'!E8</f>
        <v>0.2960000000000001</v>
      </c>
    </row>
    <row r="19" spans="1:5" ht="15" customHeight="1" x14ac:dyDescent="0.25">
      <c r="A19" s="14" t="s">
        <v>19</v>
      </c>
      <c r="B19" s="15">
        <v>579.20000000000005</v>
      </c>
      <c r="C19" s="15">
        <v>677</v>
      </c>
      <c r="D19" s="15">
        <v>728.6</v>
      </c>
      <c r="E19" s="16">
        <f>'Income Statement'!E18</f>
        <v>2619.5532365000008</v>
      </c>
    </row>
    <row r="20" spans="1:5" ht="15" customHeight="1" x14ac:dyDescent="0.25">
      <c r="A20" s="14" t="s">
        <v>20</v>
      </c>
      <c r="B20" s="15">
        <v>290.8</v>
      </c>
      <c r="C20" s="15">
        <v>399.2</v>
      </c>
      <c r="D20" s="15">
        <v>446.8</v>
      </c>
      <c r="E20" s="16">
        <f>'Income Statement'!E27</f>
        <v>1754.6927418000005</v>
      </c>
    </row>
    <row r="21" spans="1:5" ht="15" customHeight="1" x14ac:dyDescent="0.25">
      <c r="A21" s="14" t="s">
        <v>21</v>
      </c>
      <c r="B21" s="15" t="s">
        <v>22</v>
      </c>
      <c r="C21" s="15" t="s">
        <v>22</v>
      </c>
      <c r="D21" s="15" t="s">
        <v>22</v>
      </c>
      <c r="E21" s="16">
        <f>'Cash Flow'!E17</f>
        <v>1641.9509067602744</v>
      </c>
    </row>
    <row r="23" spans="1:5" ht="15" customHeight="1" x14ac:dyDescent="0.25">
      <c r="A23" s="4" t="s">
        <v>23</v>
      </c>
      <c r="B23" s="4"/>
      <c r="C23" s="4"/>
      <c r="D23" s="4"/>
      <c r="E23" s="4"/>
    </row>
    <row r="24" spans="1:5" ht="15" customHeight="1" x14ac:dyDescent="0.25">
      <c r="A24" s="19"/>
      <c r="B24" s="20" t="s">
        <v>24</v>
      </c>
      <c r="C24" s="21" t="s">
        <v>25</v>
      </c>
      <c r="D24" s="22" t="s">
        <v>26</v>
      </c>
    </row>
    <row r="25" spans="1:5" ht="15" customHeight="1" x14ac:dyDescent="0.25">
      <c r="A25" s="23" t="s">
        <v>4</v>
      </c>
      <c r="B25" s="24">
        <v>22.18</v>
      </c>
      <c r="C25" s="25">
        <v>47.26</v>
      </c>
      <c r="D25" s="26">
        <v>5.68</v>
      </c>
    </row>
    <row r="26" spans="1:5" ht="15" customHeight="1" x14ac:dyDescent="0.25">
      <c r="A26" s="27" t="s">
        <v>27</v>
      </c>
      <c r="B26" s="28" t="s">
        <v>28</v>
      </c>
      <c r="C26" s="28" t="s">
        <v>29</v>
      </c>
      <c r="D26" s="29" t="s">
        <v>30</v>
      </c>
    </row>
    <row r="28" spans="1:5" ht="15" customHeight="1" x14ac:dyDescent="0.25">
      <c r="A28" s="4" t="s">
        <v>31</v>
      </c>
      <c r="B28" s="4"/>
      <c r="C28" s="4"/>
      <c r="D28" s="4"/>
      <c r="E28" s="4"/>
    </row>
    <row r="29" spans="1:5" ht="15" customHeight="1" x14ac:dyDescent="0.25">
      <c r="A29" s="30" t="s">
        <v>32</v>
      </c>
      <c r="B29" s="2" t="s">
        <v>33</v>
      </c>
      <c r="C29" s="2"/>
      <c r="D29" s="2"/>
      <c r="E29" s="2"/>
    </row>
    <row r="31" spans="1:5" ht="15" customHeight="1" x14ac:dyDescent="0.25">
      <c r="A31" s="32" t="s">
        <v>34</v>
      </c>
    </row>
    <row r="32" spans="1:5" ht="15" customHeight="1" x14ac:dyDescent="0.25">
      <c r="A32" s="33" t="s">
        <v>35</v>
      </c>
      <c r="B32" s="31" t="s">
        <v>36</v>
      </c>
    </row>
    <row r="33" spans="1:2" ht="15" customHeight="1" x14ac:dyDescent="0.25">
      <c r="A33" s="33" t="s">
        <v>8</v>
      </c>
      <c r="B33" s="31" t="s">
        <v>37</v>
      </c>
    </row>
    <row r="34" spans="1:2" ht="15" customHeight="1" x14ac:dyDescent="0.25">
      <c r="A34" s="33" t="s">
        <v>38</v>
      </c>
      <c r="B34" s="31" t="s">
        <v>39</v>
      </c>
    </row>
    <row r="35" spans="1:2" ht="15" customHeight="1" x14ac:dyDescent="0.25">
      <c r="A35" s="33" t="s">
        <v>40</v>
      </c>
      <c r="B35" s="31" t="s">
        <v>41</v>
      </c>
    </row>
    <row r="36" spans="1:2" ht="15" customHeight="1" x14ac:dyDescent="0.25">
      <c r="A36" s="33" t="s">
        <v>42</v>
      </c>
      <c r="B36" s="31" t="s">
        <v>43</v>
      </c>
    </row>
    <row r="37" spans="1:2" ht="15" customHeight="1" x14ac:dyDescent="0.25">
      <c r="A37" s="33" t="s">
        <v>44</v>
      </c>
      <c r="B37" s="31" t="s">
        <v>45</v>
      </c>
    </row>
    <row r="38" spans="1:2" ht="15" customHeight="1" x14ac:dyDescent="0.25">
      <c r="A38" s="33" t="s">
        <v>46</v>
      </c>
      <c r="B38" s="31" t="s">
        <v>47</v>
      </c>
    </row>
    <row r="39" spans="1:2" ht="15" customHeight="1" x14ac:dyDescent="0.25">
      <c r="A39" s="33" t="s">
        <v>48</v>
      </c>
      <c r="B39" s="31" t="s">
        <v>49</v>
      </c>
    </row>
    <row r="40" spans="1:2" ht="15" customHeight="1" x14ac:dyDescent="0.25">
      <c r="A40" s="33" t="s">
        <v>50</v>
      </c>
      <c r="B40" s="31" t="s">
        <v>51</v>
      </c>
    </row>
    <row r="41" spans="1:2" ht="15" customHeight="1" x14ac:dyDescent="0.25">
      <c r="A41" s="33" t="s">
        <v>52</v>
      </c>
      <c r="B41" s="31" t="s">
        <v>53</v>
      </c>
    </row>
  </sheetData>
  <mergeCells count="15">
    <mergeCell ref="C12:E12"/>
    <mergeCell ref="A14:E14"/>
    <mergeCell ref="A23:E23"/>
    <mergeCell ref="A28:E28"/>
    <mergeCell ref="B29:E29"/>
    <mergeCell ref="C7:E7"/>
    <mergeCell ref="C8:E8"/>
    <mergeCell ref="C9:E9"/>
    <mergeCell ref="C10:E10"/>
    <mergeCell ref="C11:E11"/>
    <mergeCell ref="A1:E1"/>
    <mergeCell ref="A2:E2"/>
    <mergeCell ref="A4:E4"/>
    <mergeCell ref="C5:E5"/>
    <mergeCell ref="C6:E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3"/>
  <sheetViews>
    <sheetView showGridLines="0" zoomScaleNormal="100" workbookViewId="0">
      <pane ySplit="3" topLeftCell="A4" activePane="bottomLeft" state="frozen"/>
      <selection pane="bottomLeft" sqref="A1:C1"/>
    </sheetView>
  </sheetViews>
  <sheetFormatPr defaultColWidth="8.7109375" defaultRowHeight="15" x14ac:dyDescent="0.25"/>
  <cols>
    <col min="1" max="1" width="36" customWidth="1"/>
    <col min="2" max="2" width="14" customWidth="1"/>
    <col min="3" max="3" width="40" customWidth="1"/>
  </cols>
  <sheetData>
    <row r="1" spans="1:3" ht="24" customHeight="1" x14ac:dyDescent="0.25">
      <c r="A1" s="6" t="s">
        <v>54</v>
      </c>
      <c r="B1" s="6"/>
      <c r="C1" s="6"/>
    </row>
    <row r="2" spans="1:3" ht="15" customHeight="1" x14ac:dyDescent="0.25">
      <c r="A2" s="5" t="s">
        <v>55</v>
      </c>
      <c r="B2" s="5"/>
      <c r="C2" s="5"/>
    </row>
    <row r="4" spans="1:3" ht="15" customHeight="1" x14ac:dyDescent="0.25">
      <c r="A4" s="34" t="s">
        <v>56</v>
      </c>
    </row>
    <row r="5" spans="1:3" ht="15" customHeight="1" x14ac:dyDescent="0.25">
      <c r="A5" s="35" t="s">
        <v>57</v>
      </c>
    </row>
    <row r="6" spans="1:3" ht="15" customHeight="1" x14ac:dyDescent="0.25">
      <c r="A6" s="36" t="s">
        <v>58</v>
      </c>
    </row>
    <row r="8" spans="1:3" ht="15" customHeight="1" x14ac:dyDescent="0.25">
      <c r="A8" s="4" t="s">
        <v>59</v>
      </c>
      <c r="B8" s="4"/>
      <c r="C8" s="4"/>
    </row>
    <row r="9" spans="1:3" ht="15" customHeight="1" x14ac:dyDescent="0.25">
      <c r="A9" s="14" t="s">
        <v>60</v>
      </c>
      <c r="B9" s="37">
        <v>4.2999999999999997E-2</v>
      </c>
      <c r="C9" s="31" t="s">
        <v>61</v>
      </c>
    </row>
    <row r="10" spans="1:3" ht="15" customHeight="1" x14ac:dyDescent="0.25">
      <c r="A10" s="14" t="s">
        <v>62</v>
      </c>
      <c r="B10" s="37">
        <v>5.5E-2</v>
      </c>
      <c r="C10" s="31" t="s">
        <v>63</v>
      </c>
    </row>
    <row r="11" spans="1:3" ht="15" customHeight="1" x14ac:dyDescent="0.25">
      <c r="A11" s="14" t="s">
        <v>64</v>
      </c>
      <c r="B11" s="37">
        <v>1.25</v>
      </c>
      <c r="C11" s="31" t="s">
        <v>65</v>
      </c>
    </row>
    <row r="12" spans="1:3" ht="15" customHeight="1" x14ac:dyDescent="0.25">
      <c r="A12" s="14" t="s">
        <v>66</v>
      </c>
      <c r="B12" s="38" t="s">
        <v>67</v>
      </c>
      <c r="C12" s="31" t="s">
        <v>68</v>
      </c>
    </row>
    <row r="13" spans="1:3" ht="15" customHeight="1" x14ac:dyDescent="0.25">
      <c r="A13" s="14" t="s">
        <v>69</v>
      </c>
      <c r="B13" s="37">
        <v>4.8000000000000001E-2</v>
      </c>
      <c r="C13" s="31" t="s">
        <v>70</v>
      </c>
    </row>
    <row r="14" spans="1:3" ht="15" customHeight="1" x14ac:dyDescent="0.25">
      <c r="A14" s="14" t="s">
        <v>71</v>
      </c>
      <c r="B14" s="37">
        <v>0.25</v>
      </c>
      <c r="C14" s="31" t="s">
        <v>72</v>
      </c>
    </row>
    <row r="15" spans="1:3" ht="15" customHeight="1" x14ac:dyDescent="0.25">
      <c r="A15" s="14" t="s">
        <v>73</v>
      </c>
      <c r="B15" s="38" t="s">
        <v>67</v>
      </c>
      <c r="C15" s="31" t="s">
        <v>74</v>
      </c>
    </row>
    <row r="16" spans="1:3" ht="15" customHeight="1" x14ac:dyDescent="0.25">
      <c r="A16" s="14" t="s">
        <v>75</v>
      </c>
      <c r="B16" s="37">
        <v>0.64</v>
      </c>
      <c r="C16" s="31" t="s">
        <v>76</v>
      </c>
    </row>
    <row r="17" spans="1:3" ht="15" customHeight="1" x14ac:dyDescent="0.25">
      <c r="A17" s="14" t="s">
        <v>77</v>
      </c>
      <c r="B17" s="37">
        <v>0.36</v>
      </c>
      <c r="C17" s="31" t="s">
        <v>78</v>
      </c>
    </row>
    <row r="18" spans="1:3" ht="15" customHeight="1" x14ac:dyDescent="0.25">
      <c r="A18" s="14" t="s">
        <v>8</v>
      </c>
      <c r="B18" s="38" t="s">
        <v>67</v>
      </c>
      <c r="C18" s="31" t="s">
        <v>79</v>
      </c>
    </row>
    <row r="20" spans="1:3" ht="15" customHeight="1" x14ac:dyDescent="0.25">
      <c r="A20" s="4" t="s">
        <v>80</v>
      </c>
      <c r="B20" s="4"/>
      <c r="C20" s="4"/>
    </row>
    <row r="21" spans="1:3" ht="15" customHeight="1" x14ac:dyDescent="0.25">
      <c r="A21" s="39"/>
      <c r="B21" s="40" t="s">
        <v>81</v>
      </c>
      <c r="C21" s="39" t="s">
        <v>82</v>
      </c>
    </row>
    <row r="22" spans="1:3" ht="15" customHeight="1" x14ac:dyDescent="0.25">
      <c r="A22" s="14" t="s">
        <v>83</v>
      </c>
      <c r="B22" s="41">
        <v>22.3</v>
      </c>
      <c r="C22" s="31" t="s">
        <v>84</v>
      </c>
    </row>
    <row r="23" spans="1:3" ht="15" customHeight="1" x14ac:dyDescent="0.25">
      <c r="A23" s="14" t="s">
        <v>85</v>
      </c>
      <c r="B23" s="37">
        <v>0.09</v>
      </c>
      <c r="C23" s="31" t="s">
        <v>86</v>
      </c>
    </row>
    <row r="24" spans="1:3" ht="15" customHeight="1" x14ac:dyDescent="0.25">
      <c r="A24" s="14" t="s">
        <v>87</v>
      </c>
      <c r="B24" s="37">
        <v>7.0000000000000007E-2</v>
      </c>
      <c r="C24" s="31"/>
    </row>
    <row r="25" spans="1:3" ht="15" customHeight="1" x14ac:dyDescent="0.25">
      <c r="A25" s="14" t="s">
        <v>88</v>
      </c>
      <c r="B25" s="37">
        <v>5.5E-2</v>
      </c>
      <c r="C25" s="31"/>
    </row>
    <row r="26" spans="1:3" ht="15" customHeight="1" x14ac:dyDescent="0.25">
      <c r="A26" s="14" t="s">
        <v>89</v>
      </c>
      <c r="B26" s="37">
        <v>4.4999999999999998E-2</v>
      </c>
      <c r="C26" s="31"/>
    </row>
    <row r="27" spans="1:3" ht="15" customHeight="1" x14ac:dyDescent="0.25">
      <c r="A27" s="14" t="s">
        <v>90</v>
      </c>
      <c r="B27" s="37">
        <v>0.04</v>
      </c>
      <c r="C27" s="31"/>
    </row>
    <row r="28" spans="1:3" ht="15" customHeight="1" x14ac:dyDescent="0.25">
      <c r="A28" s="14" t="s">
        <v>91</v>
      </c>
      <c r="B28" s="41">
        <v>321.7</v>
      </c>
      <c r="C28" s="31" t="s">
        <v>92</v>
      </c>
    </row>
    <row r="29" spans="1:3" ht="15" customHeight="1" x14ac:dyDescent="0.25">
      <c r="A29" s="14" t="s">
        <v>93</v>
      </c>
      <c r="B29" s="37">
        <v>0</v>
      </c>
      <c r="C29" s="31" t="s">
        <v>94</v>
      </c>
    </row>
    <row r="30" spans="1:3" ht="15" customHeight="1" x14ac:dyDescent="0.25">
      <c r="A30" s="14" t="s">
        <v>95</v>
      </c>
      <c r="B30" s="37">
        <v>0.01</v>
      </c>
      <c r="C30" s="31" t="s">
        <v>96</v>
      </c>
    </row>
    <row r="32" spans="1:3" ht="15" customHeight="1" x14ac:dyDescent="0.25">
      <c r="A32" s="4" t="s">
        <v>97</v>
      </c>
      <c r="B32" s="4"/>
      <c r="C32" s="4"/>
    </row>
    <row r="33" spans="1:3" ht="15" customHeight="1" x14ac:dyDescent="0.25">
      <c r="A33" s="14" t="s">
        <v>98</v>
      </c>
      <c r="B33" s="37">
        <v>0.19500000000000001</v>
      </c>
      <c r="C33" s="31" t="s">
        <v>99</v>
      </c>
    </row>
    <row r="34" spans="1:3" ht="15" customHeight="1" x14ac:dyDescent="0.25">
      <c r="A34" s="14" t="s">
        <v>100</v>
      </c>
      <c r="B34" s="37">
        <v>0.185</v>
      </c>
      <c r="C34" s="31" t="s">
        <v>101</v>
      </c>
    </row>
    <row r="35" spans="1:3" ht="15" customHeight="1" x14ac:dyDescent="0.25">
      <c r="A35" s="14" t="s">
        <v>102</v>
      </c>
      <c r="B35" s="37">
        <v>0.155</v>
      </c>
      <c r="C35" s="31" t="s">
        <v>103</v>
      </c>
    </row>
    <row r="36" spans="1:3" ht="15" customHeight="1" x14ac:dyDescent="0.25">
      <c r="A36" s="14" t="s">
        <v>104</v>
      </c>
      <c r="B36" s="37">
        <v>4.4999999999999998E-2</v>
      </c>
      <c r="C36" s="31" t="s">
        <v>105</v>
      </c>
    </row>
    <row r="37" spans="1:3" ht="15" customHeight="1" x14ac:dyDescent="0.25">
      <c r="A37" s="14" t="s">
        <v>106</v>
      </c>
      <c r="B37" s="37">
        <v>0.11</v>
      </c>
      <c r="C37" s="31" t="s">
        <v>107</v>
      </c>
    </row>
    <row r="38" spans="1:3" ht="15" customHeight="1" x14ac:dyDescent="0.25">
      <c r="A38" s="14" t="s">
        <v>108</v>
      </c>
      <c r="B38" s="37">
        <v>0.16</v>
      </c>
      <c r="C38" s="31" t="s">
        <v>109</v>
      </c>
    </row>
    <row r="39" spans="1:3" ht="15" customHeight="1" x14ac:dyDescent="0.25">
      <c r="A39" s="14" t="s">
        <v>110</v>
      </c>
      <c r="B39" s="38" t="s">
        <v>111</v>
      </c>
      <c r="C39" s="31" t="s">
        <v>112</v>
      </c>
    </row>
    <row r="40" spans="1:3" ht="15" customHeight="1" x14ac:dyDescent="0.25">
      <c r="A40" s="14" t="s">
        <v>113</v>
      </c>
      <c r="B40" s="37">
        <v>6.6000000000000003E-2</v>
      </c>
      <c r="C40" s="31" t="s">
        <v>114</v>
      </c>
    </row>
    <row r="41" spans="1:3" ht="15" customHeight="1" x14ac:dyDescent="0.25">
      <c r="A41" s="14" t="s">
        <v>115</v>
      </c>
      <c r="B41" s="37">
        <v>6.8000000000000005E-2</v>
      </c>
      <c r="C41" s="31"/>
    </row>
    <row r="42" spans="1:3" ht="15" customHeight="1" x14ac:dyDescent="0.25">
      <c r="A42" s="14" t="s">
        <v>116</v>
      </c>
      <c r="B42" s="37">
        <v>7.0000000000000007E-2</v>
      </c>
      <c r="C42" s="31"/>
    </row>
    <row r="43" spans="1:3" ht="15" customHeight="1" x14ac:dyDescent="0.25">
      <c r="A43" s="14" t="s">
        <v>117</v>
      </c>
      <c r="B43" s="37">
        <v>7.0999999999999994E-2</v>
      </c>
      <c r="C43" s="31"/>
    </row>
    <row r="44" spans="1:3" ht="15" customHeight="1" x14ac:dyDescent="0.25">
      <c r="A44" s="14" t="s">
        <v>118</v>
      </c>
      <c r="B44" s="37">
        <v>7.1999999999999995E-2</v>
      </c>
      <c r="C44" s="31" t="s">
        <v>119</v>
      </c>
    </row>
    <row r="45" spans="1:3" ht="15" customHeight="1" x14ac:dyDescent="0.25">
      <c r="A45" s="14" t="s">
        <v>120</v>
      </c>
      <c r="B45" s="37">
        <v>3.9E-2</v>
      </c>
      <c r="C45" s="31" t="s">
        <v>121</v>
      </c>
    </row>
    <row r="46" spans="1:3" ht="15" customHeight="1" x14ac:dyDescent="0.25">
      <c r="A46" s="14" t="s">
        <v>122</v>
      </c>
      <c r="B46" s="37">
        <v>5.6000000000000001E-2</v>
      </c>
      <c r="C46" s="31" t="s">
        <v>123</v>
      </c>
    </row>
    <row r="47" spans="1:3" ht="15" customHeight="1" x14ac:dyDescent="0.25">
      <c r="A47" s="14" t="s">
        <v>124</v>
      </c>
      <c r="B47" s="37">
        <v>-5.0000000000000001E-3</v>
      </c>
      <c r="C47" s="31" t="s">
        <v>125</v>
      </c>
    </row>
    <row r="48" spans="1:3" ht="15" customHeight="1" x14ac:dyDescent="0.25">
      <c r="A48" s="14" t="s">
        <v>126</v>
      </c>
      <c r="B48" s="42">
        <v>18</v>
      </c>
      <c r="C48" s="31" t="s">
        <v>127</v>
      </c>
    </row>
    <row r="49" spans="1:4" ht="15" customHeight="1" x14ac:dyDescent="0.25">
      <c r="A49" s="14" t="s">
        <v>128</v>
      </c>
      <c r="B49" s="42">
        <v>45</v>
      </c>
      <c r="C49" s="31" t="s">
        <v>129</v>
      </c>
    </row>
    <row r="50" spans="1:4" ht="15" customHeight="1" x14ac:dyDescent="0.25">
      <c r="A50" s="14" t="s">
        <v>130</v>
      </c>
      <c r="B50" s="42">
        <v>5</v>
      </c>
      <c r="C50" s="31" t="s">
        <v>131</v>
      </c>
    </row>
    <row r="52" spans="1:4" ht="15" customHeight="1" x14ac:dyDescent="0.25">
      <c r="A52" s="4" t="s">
        <v>132</v>
      </c>
      <c r="B52" s="4"/>
      <c r="C52" s="4"/>
    </row>
    <row r="53" spans="1:4" ht="15" customHeight="1" x14ac:dyDescent="0.25">
      <c r="A53" s="14" t="s">
        <v>133</v>
      </c>
      <c r="B53" s="37">
        <v>5</v>
      </c>
      <c r="C53" s="31" t="s">
        <v>134</v>
      </c>
    </row>
    <row r="54" spans="1:4" ht="15" customHeight="1" x14ac:dyDescent="0.25">
      <c r="A54" s="14" t="s">
        <v>9</v>
      </c>
      <c r="B54" s="37">
        <v>2.5000000000000001E-2</v>
      </c>
      <c r="C54" s="31" t="s">
        <v>135</v>
      </c>
    </row>
    <row r="55" spans="1:4" ht="15" customHeight="1" x14ac:dyDescent="0.25">
      <c r="A55" s="14" t="s">
        <v>136</v>
      </c>
      <c r="B55" s="43" t="s">
        <v>137</v>
      </c>
      <c r="C55" s="31" t="s">
        <v>138</v>
      </c>
    </row>
    <row r="56" spans="1:4" ht="15" customHeight="1" x14ac:dyDescent="0.25">
      <c r="A56" s="14" t="s">
        <v>139</v>
      </c>
      <c r="B56" s="41">
        <v>623.6</v>
      </c>
      <c r="C56" s="31" t="s">
        <v>140</v>
      </c>
    </row>
    <row r="57" spans="1:4" ht="15" customHeight="1" x14ac:dyDescent="0.25">
      <c r="A57" s="14" t="s">
        <v>141</v>
      </c>
      <c r="B57" s="41">
        <v>203.2</v>
      </c>
      <c r="C57" s="31" t="s">
        <v>142</v>
      </c>
    </row>
    <row r="58" spans="1:4" ht="15" customHeight="1" x14ac:dyDescent="0.25">
      <c r="A58" s="14" t="s">
        <v>5</v>
      </c>
      <c r="B58" s="41">
        <v>12.6</v>
      </c>
      <c r="C58" s="31" t="s">
        <v>143</v>
      </c>
    </row>
    <row r="60" spans="1:4" ht="15" customHeight="1" x14ac:dyDescent="0.25">
      <c r="A60" s="4" t="s">
        <v>144</v>
      </c>
      <c r="B60" s="4"/>
      <c r="C60" s="4"/>
    </row>
    <row r="61" spans="1:4" ht="15" customHeight="1" x14ac:dyDescent="0.25">
      <c r="A61" s="8" t="s">
        <v>11</v>
      </c>
      <c r="B61" s="13" t="s">
        <v>12</v>
      </c>
      <c r="C61" s="13" t="s">
        <v>13</v>
      </c>
      <c r="D61" s="13" t="s">
        <v>14</v>
      </c>
    </row>
    <row r="62" spans="1:4" ht="15" customHeight="1" x14ac:dyDescent="0.25">
      <c r="A62" s="14" t="s">
        <v>145</v>
      </c>
      <c r="B62" s="15">
        <v>5033.5</v>
      </c>
      <c r="C62" s="15">
        <v>6255.3</v>
      </c>
      <c r="D62" s="15">
        <v>7173.5</v>
      </c>
    </row>
    <row r="63" spans="1:4" ht="15" customHeight="1" x14ac:dyDescent="0.25">
      <c r="A63" s="14" t="s">
        <v>146</v>
      </c>
      <c r="B63" s="15">
        <v>394</v>
      </c>
      <c r="C63" s="15">
        <v>428.2</v>
      </c>
      <c r="D63" s="15">
        <v>446.5</v>
      </c>
    </row>
    <row r="64" spans="1:4" ht="15" customHeight="1" x14ac:dyDescent="0.25">
      <c r="A64" s="14" t="s">
        <v>18</v>
      </c>
      <c r="B64" s="17">
        <v>7.8299999999999995E-2</v>
      </c>
      <c r="C64" s="17">
        <v>6.8500000000000005E-2</v>
      </c>
      <c r="D64" s="17">
        <v>6.2300000000000001E-2</v>
      </c>
    </row>
    <row r="65" spans="1:4" ht="15" customHeight="1" x14ac:dyDescent="0.25">
      <c r="A65" s="14" t="s">
        <v>147</v>
      </c>
      <c r="B65" s="15">
        <v>579.20000000000005</v>
      </c>
      <c r="C65" s="15">
        <v>677</v>
      </c>
      <c r="D65" s="15">
        <v>728.6</v>
      </c>
    </row>
    <row r="66" spans="1:4" ht="15" customHeight="1" x14ac:dyDescent="0.25">
      <c r="A66" s="14" t="s">
        <v>148</v>
      </c>
      <c r="B66" s="17">
        <v>0.11509999999999999</v>
      </c>
      <c r="C66" s="17">
        <v>0.1082</v>
      </c>
      <c r="D66" s="17">
        <v>0.1016</v>
      </c>
    </row>
    <row r="67" spans="1:4" ht="15" customHeight="1" x14ac:dyDescent="0.25">
      <c r="A67" s="14" t="s">
        <v>149</v>
      </c>
      <c r="B67" s="15">
        <v>290.8</v>
      </c>
      <c r="C67" s="15">
        <v>399.2</v>
      </c>
      <c r="D67" s="15">
        <v>446.8</v>
      </c>
    </row>
    <row r="68" spans="1:4" ht="15" customHeight="1" x14ac:dyDescent="0.25">
      <c r="A68" s="14" t="s">
        <v>150</v>
      </c>
      <c r="B68" s="15">
        <v>185.2</v>
      </c>
      <c r="C68" s="15">
        <v>248.8</v>
      </c>
      <c r="D68" s="15">
        <v>282.10000000000002</v>
      </c>
    </row>
    <row r="69" spans="1:4" ht="15" customHeight="1" x14ac:dyDescent="0.25">
      <c r="A69" s="14" t="s">
        <v>151</v>
      </c>
      <c r="B69" s="15">
        <v>193.9</v>
      </c>
      <c r="C69" s="15">
        <v>403.9</v>
      </c>
      <c r="D69" s="15">
        <v>391.4</v>
      </c>
    </row>
    <row r="70" spans="1:4" ht="15" customHeight="1" x14ac:dyDescent="0.25">
      <c r="A70" s="14" t="s">
        <v>152</v>
      </c>
      <c r="B70" s="15">
        <v>952.1</v>
      </c>
      <c r="C70" s="15">
        <v>1094</v>
      </c>
      <c r="D70" s="15">
        <v>1058</v>
      </c>
    </row>
    <row r="71" spans="1:4" ht="15" customHeight="1" x14ac:dyDescent="0.25">
      <c r="A71" s="14" t="s">
        <v>153</v>
      </c>
      <c r="B71" s="15">
        <v>735.5</v>
      </c>
      <c r="C71" s="15">
        <v>970</v>
      </c>
      <c r="D71" s="15">
        <v>623.6</v>
      </c>
    </row>
    <row r="72" spans="1:4" ht="15" customHeight="1" x14ac:dyDescent="0.25">
      <c r="A72" s="14" t="s">
        <v>154</v>
      </c>
      <c r="B72" s="15">
        <v>17.399999999999999</v>
      </c>
      <c r="C72" s="15">
        <v>20.7</v>
      </c>
      <c r="D72" s="15">
        <v>22.3</v>
      </c>
    </row>
    <row r="73" spans="1:4" ht="15" customHeight="1" x14ac:dyDescent="0.25">
      <c r="A73" s="14" t="s">
        <v>155</v>
      </c>
      <c r="B73" s="15">
        <v>289.3</v>
      </c>
      <c r="C73" s="15">
        <v>302.2</v>
      </c>
      <c r="D73" s="15">
        <v>321.7</v>
      </c>
    </row>
  </sheetData>
  <mergeCells count="7">
    <mergeCell ref="A52:C52"/>
    <mergeCell ref="A60:C60"/>
    <mergeCell ref="A1:C1"/>
    <mergeCell ref="A2:C2"/>
    <mergeCell ref="A8:C8"/>
    <mergeCell ref="A20:C20"/>
    <mergeCell ref="A32:C3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
  <sheetViews>
    <sheetView showGridLines="0" zoomScaleNormal="100" workbookViewId="0">
      <pane ySplit="3" topLeftCell="A4" activePane="bottomLeft" state="frozen"/>
      <selection pane="bottomLeft" sqref="A1:C1"/>
    </sheetView>
  </sheetViews>
  <sheetFormatPr defaultColWidth="8.7109375" defaultRowHeight="15" x14ac:dyDescent="0.25"/>
  <cols>
    <col min="1" max="1" width="34" customWidth="1"/>
    <col min="2" max="2" width="14" customWidth="1"/>
    <col min="3" max="3" width="38" customWidth="1"/>
  </cols>
  <sheetData>
    <row r="1" spans="1:3" ht="24" customHeight="1" x14ac:dyDescent="0.25">
      <c r="A1" s="6" t="s">
        <v>156</v>
      </c>
      <c r="B1" s="6"/>
      <c r="C1" s="6"/>
    </row>
    <row r="2" spans="1:3" ht="15" customHeight="1" x14ac:dyDescent="0.25">
      <c r="A2" s="5" t="s">
        <v>157</v>
      </c>
      <c r="B2" s="5"/>
      <c r="C2" s="5"/>
    </row>
    <row r="4" spans="1:3" ht="15" customHeight="1" x14ac:dyDescent="0.25">
      <c r="A4" s="4" t="s">
        <v>158</v>
      </c>
      <c r="B4" s="4"/>
      <c r="C4" s="4"/>
    </row>
    <row r="5" spans="1:3" ht="15" customHeight="1" x14ac:dyDescent="0.25">
      <c r="A5" s="14" t="s">
        <v>159</v>
      </c>
      <c r="B5" s="44">
        <f>Assumptions!B9</f>
        <v>4.2999999999999997E-2</v>
      </c>
    </row>
    <row r="6" spans="1:3" ht="15" customHeight="1" x14ac:dyDescent="0.25">
      <c r="A6" s="14" t="s">
        <v>62</v>
      </c>
      <c r="B6" s="44">
        <f>Assumptions!B10</f>
        <v>5.5E-2</v>
      </c>
    </row>
    <row r="7" spans="1:3" ht="15" customHeight="1" x14ac:dyDescent="0.25">
      <c r="A7" s="14" t="s">
        <v>160</v>
      </c>
      <c r="B7" s="44">
        <f>Assumptions!B11</f>
        <v>1.25</v>
      </c>
    </row>
    <row r="8" spans="1:3" ht="15" customHeight="1" x14ac:dyDescent="0.25">
      <c r="A8" s="23" t="s">
        <v>161</v>
      </c>
      <c r="B8" s="45">
        <f>B5+B7*B6</f>
        <v>0.11175</v>
      </c>
    </row>
    <row r="10" spans="1:3" ht="15" customHeight="1" x14ac:dyDescent="0.25">
      <c r="A10" s="4" t="s">
        <v>162</v>
      </c>
      <c r="B10" s="4"/>
      <c r="C10" s="4"/>
    </row>
    <row r="11" spans="1:3" ht="15" customHeight="1" x14ac:dyDescent="0.25">
      <c r="A11" s="14" t="s">
        <v>163</v>
      </c>
      <c r="B11" s="44">
        <f>Assumptions!B13</f>
        <v>4.8000000000000001E-2</v>
      </c>
    </row>
    <row r="12" spans="1:3" ht="15" customHeight="1" x14ac:dyDescent="0.25">
      <c r="A12" s="14" t="s">
        <v>71</v>
      </c>
      <c r="B12" s="44">
        <f>Assumptions!B14</f>
        <v>0.25</v>
      </c>
    </row>
    <row r="13" spans="1:3" ht="15" customHeight="1" x14ac:dyDescent="0.25">
      <c r="A13" s="23" t="s">
        <v>164</v>
      </c>
      <c r="B13" s="45">
        <f>B11*(1-B12)</f>
        <v>3.6000000000000004E-2</v>
      </c>
    </row>
    <row r="15" spans="1:3" ht="15" customHeight="1" x14ac:dyDescent="0.25">
      <c r="A15" s="4" t="s">
        <v>165</v>
      </c>
      <c r="B15" s="4"/>
      <c r="C15" s="4"/>
    </row>
    <row r="16" spans="1:3" ht="15" customHeight="1" x14ac:dyDescent="0.25">
      <c r="A16" s="14" t="s">
        <v>75</v>
      </c>
      <c r="B16" s="44">
        <f>Assumptions!B16</f>
        <v>0.64</v>
      </c>
    </row>
    <row r="17" spans="1:6" ht="15" customHeight="1" x14ac:dyDescent="0.25">
      <c r="A17" s="14" t="s">
        <v>77</v>
      </c>
      <c r="B17" s="44">
        <f>Assumptions!B17</f>
        <v>0.36</v>
      </c>
    </row>
    <row r="18" spans="1:6" ht="15" customHeight="1" x14ac:dyDescent="0.25">
      <c r="A18" s="14" t="s">
        <v>166</v>
      </c>
      <c r="B18" s="46">
        <f>B16+B17</f>
        <v>1</v>
      </c>
      <c r="C18" s="31" t="s">
        <v>167</v>
      </c>
    </row>
    <row r="20" spans="1:6" ht="15" customHeight="1" x14ac:dyDescent="0.25">
      <c r="A20" s="4" t="s">
        <v>8</v>
      </c>
      <c r="B20" s="4"/>
      <c r="C20" s="4"/>
    </row>
    <row r="21" spans="1:6" ht="15" customHeight="1" x14ac:dyDescent="0.25">
      <c r="A21" s="23" t="s">
        <v>168</v>
      </c>
      <c r="B21" s="45">
        <f>B8*B16+B13*B17</f>
        <v>8.448E-2</v>
      </c>
      <c r="C21" s="31" t="s">
        <v>169</v>
      </c>
    </row>
    <row r="23" spans="1:6" ht="15" customHeight="1" x14ac:dyDescent="0.25">
      <c r="A23" s="4" t="s">
        <v>170</v>
      </c>
      <c r="B23" s="4"/>
      <c r="C23" s="4"/>
    </row>
    <row r="24" spans="1:6" ht="15" customHeight="1" x14ac:dyDescent="0.25">
      <c r="A24" s="13" t="s">
        <v>171</v>
      </c>
      <c r="B24" s="47">
        <v>4.4999999999999998E-2</v>
      </c>
      <c r="C24" s="47">
        <v>0.05</v>
      </c>
      <c r="D24" s="47">
        <v>5.5E-2</v>
      </c>
      <c r="E24" s="47">
        <v>0.06</v>
      </c>
      <c r="F24" s="47">
        <v>6.5000000000000002E-2</v>
      </c>
    </row>
    <row r="25" spans="1:6" ht="15" customHeight="1" x14ac:dyDescent="0.25">
      <c r="A25" s="48">
        <v>1</v>
      </c>
      <c r="B25" s="49">
        <v>6.9279999999999994E-2</v>
      </c>
      <c r="C25" s="49">
        <v>7.2480000000000003E-2</v>
      </c>
      <c r="D25" s="49">
        <v>7.5679999999999997E-2</v>
      </c>
      <c r="E25" s="49">
        <v>7.8880000000000006E-2</v>
      </c>
      <c r="F25" s="49">
        <v>8.208E-2</v>
      </c>
    </row>
    <row r="26" spans="1:6" ht="15" customHeight="1" x14ac:dyDescent="0.25">
      <c r="A26" s="48">
        <v>1.1000000000000001</v>
      </c>
      <c r="B26" s="49">
        <v>7.2160000000000002E-2</v>
      </c>
      <c r="C26" s="49">
        <v>7.5679999999999997E-2</v>
      </c>
      <c r="D26" s="49">
        <v>7.9200000000000007E-2</v>
      </c>
      <c r="E26" s="49">
        <v>8.2720000000000002E-2</v>
      </c>
      <c r="F26" s="49">
        <v>8.6239999999999997E-2</v>
      </c>
    </row>
    <row r="27" spans="1:6" ht="15" customHeight="1" x14ac:dyDescent="0.25">
      <c r="A27" s="48">
        <v>1.25</v>
      </c>
      <c r="B27" s="49">
        <v>7.6480000000000006E-2</v>
      </c>
      <c r="C27" s="49">
        <v>8.0479999999999996E-2</v>
      </c>
      <c r="D27" s="50">
        <v>8.448E-2</v>
      </c>
      <c r="E27" s="49">
        <v>8.8480000000000003E-2</v>
      </c>
      <c r="F27" s="49">
        <v>9.2480000000000007E-2</v>
      </c>
    </row>
    <row r="28" spans="1:6" ht="15" customHeight="1" x14ac:dyDescent="0.25">
      <c r="A28" s="48">
        <v>1.4</v>
      </c>
      <c r="B28" s="49">
        <v>8.0799999999999997E-2</v>
      </c>
      <c r="C28" s="49">
        <v>8.5279999999999995E-2</v>
      </c>
      <c r="D28" s="49">
        <v>8.9760000000000006E-2</v>
      </c>
      <c r="E28" s="49">
        <v>9.4240000000000004E-2</v>
      </c>
      <c r="F28" s="49">
        <v>9.8720000000000002E-2</v>
      </c>
    </row>
    <row r="29" spans="1:6" ht="15" customHeight="1" x14ac:dyDescent="0.25">
      <c r="A29" s="48">
        <v>1.5</v>
      </c>
      <c r="B29" s="49">
        <v>8.3680000000000004E-2</v>
      </c>
      <c r="C29" s="49">
        <v>8.8480000000000003E-2</v>
      </c>
      <c r="D29" s="49">
        <v>9.3280000000000002E-2</v>
      </c>
      <c r="E29" s="49">
        <v>9.8080000000000001E-2</v>
      </c>
      <c r="F29" s="49">
        <v>0.10288</v>
      </c>
    </row>
  </sheetData>
  <mergeCells count="7">
    <mergeCell ref="A20:C20"/>
    <mergeCell ref="A23:C23"/>
    <mergeCell ref="A1:C1"/>
    <mergeCell ref="A2:C2"/>
    <mergeCell ref="A4:C4"/>
    <mergeCell ref="A10:C10"/>
    <mergeCell ref="A15:C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7"/>
  <sheetViews>
    <sheetView showGridLines="0" zoomScaleNormal="100" workbookViewId="0">
      <pane xSplit="1" ySplit="4" topLeftCell="B5" activePane="bottomRight" state="frozen"/>
      <selection pane="topRight" activeCell="B1" sqref="B1"/>
      <selection pane="bottomLeft" activeCell="A5" sqref="A5"/>
      <selection pane="bottomRight" sqref="A1:I1"/>
    </sheetView>
  </sheetViews>
  <sheetFormatPr defaultColWidth="8.7109375" defaultRowHeight="15" x14ac:dyDescent="0.25"/>
  <cols>
    <col min="1" max="1" width="34" customWidth="1"/>
    <col min="2" max="9" width="13" customWidth="1"/>
  </cols>
  <sheetData>
    <row r="1" spans="1:9" ht="24" customHeight="1" x14ac:dyDescent="0.25">
      <c r="A1" s="6" t="s">
        <v>172</v>
      </c>
      <c r="B1" s="6"/>
      <c r="C1" s="6"/>
      <c r="D1" s="6"/>
      <c r="E1" s="6"/>
      <c r="F1" s="6"/>
      <c r="G1" s="6"/>
      <c r="H1" s="6"/>
      <c r="I1" s="6"/>
    </row>
    <row r="2" spans="1:9" ht="15" customHeight="1" x14ac:dyDescent="0.25">
      <c r="A2" s="5" t="s">
        <v>173</v>
      </c>
      <c r="B2" s="5"/>
      <c r="C2" s="5"/>
      <c r="D2" s="5"/>
      <c r="E2" s="5"/>
      <c r="F2" s="5"/>
      <c r="G2" s="5"/>
      <c r="H2" s="5"/>
      <c r="I2" s="5"/>
    </row>
    <row r="4" spans="1:9" ht="15" customHeight="1" x14ac:dyDescent="0.25">
      <c r="A4" s="19"/>
      <c r="B4" s="51" t="s">
        <v>12</v>
      </c>
      <c r="C4" s="51" t="s">
        <v>13</v>
      </c>
      <c r="D4" s="51" t="s">
        <v>14</v>
      </c>
      <c r="E4" s="52" t="s">
        <v>15</v>
      </c>
      <c r="F4" s="52" t="s">
        <v>174</v>
      </c>
      <c r="G4" s="52" t="s">
        <v>175</v>
      </c>
      <c r="H4" s="52" t="s">
        <v>176</v>
      </c>
      <c r="I4" s="52" t="s">
        <v>177</v>
      </c>
    </row>
    <row r="5" spans="1:9" ht="15" customHeight="1" x14ac:dyDescent="0.25">
      <c r="A5" s="4" t="s">
        <v>80</v>
      </c>
      <c r="B5" s="4"/>
      <c r="C5" s="4"/>
      <c r="D5" s="4"/>
      <c r="E5" s="4"/>
      <c r="F5" s="4"/>
      <c r="G5" s="4"/>
      <c r="H5" s="4"/>
      <c r="I5" s="4"/>
    </row>
    <row r="6" spans="1:9" ht="15" customHeight="1" x14ac:dyDescent="0.25">
      <c r="A6" s="14" t="s">
        <v>178</v>
      </c>
      <c r="B6" s="15">
        <v>17.399999999999999</v>
      </c>
      <c r="C6" s="15">
        <v>20.7</v>
      </c>
      <c r="D6" s="15">
        <v>22.3</v>
      </c>
      <c r="E6" s="53">
        <f>D6*(1+Assumptions!B23)</f>
        <v>24.307000000000002</v>
      </c>
      <c r="F6" s="53">
        <f>E6*(1+Assumptions!B24)</f>
        <v>26.008490000000005</v>
      </c>
      <c r="G6" s="53">
        <f>F6*(1+Assumptions!B25)</f>
        <v>27.438956950000005</v>
      </c>
      <c r="H6" s="53">
        <f>G6*(1+Assumptions!B26)</f>
        <v>28.673710012750004</v>
      </c>
      <c r="I6" s="53">
        <f>H6*(1+Assumptions!B27)</f>
        <v>29.820658413260006</v>
      </c>
    </row>
    <row r="7" spans="1:9" ht="15" customHeight="1" x14ac:dyDescent="0.25">
      <c r="A7" s="14" t="s">
        <v>179</v>
      </c>
      <c r="B7" s="15">
        <v>289.3</v>
      </c>
      <c r="C7" s="15">
        <v>302.2</v>
      </c>
      <c r="D7" s="15">
        <v>321.7</v>
      </c>
      <c r="E7" s="53">
        <f>D7*(1+Assumptions!B29)</f>
        <v>321.7</v>
      </c>
      <c r="F7" s="53">
        <f>E7*(1+Assumptions!B30)</f>
        <v>324.91699999999997</v>
      </c>
      <c r="G7" s="53">
        <f>F7*(1+Assumptions!B30)</f>
        <v>328.16616999999997</v>
      </c>
      <c r="H7" s="53">
        <f>G7*(1+Assumptions!B30)</f>
        <v>331.44783169999999</v>
      </c>
      <c r="I7" s="53">
        <f>H7*(1+Assumptions!B30)</f>
        <v>334.762310017</v>
      </c>
    </row>
    <row r="8" spans="1:9" ht="15" customHeight="1" x14ac:dyDescent="0.25">
      <c r="A8" s="23" t="s">
        <v>16</v>
      </c>
      <c r="B8" s="54">
        <v>5033.5</v>
      </c>
      <c r="C8" s="54">
        <v>6255.3</v>
      </c>
      <c r="D8" s="54">
        <v>7173.5</v>
      </c>
      <c r="E8" s="55">
        <f>E6*E7</f>
        <v>7819.5619000000006</v>
      </c>
      <c r="F8" s="55">
        <f>F6*F7</f>
        <v>8450.6005453300004</v>
      </c>
      <c r="G8" s="55">
        <f>G6*G7</f>
        <v>9004.5374110763823</v>
      </c>
      <c r="H8" s="55">
        <f>H6*H7</f>
        <v>9503.8390105205672</v>
      </c>
      <c r="I8" s="55">
        <f>I6*I7</f>
        <v>9982.8324966508062</v>
      </c>
    </row>
    <row r="9" spans="1:9" ht="15" customHeight="1" x14ac:dyDescent="0.25">
      <c r="A9" s="27" t="s">
        <v>180</v>
      </c>
      <c r="B9" s="56" t="s">
        <v>22</v>
      </c>
      <c r="C9" s="57">
        <f t="shared" ref="C9:I9" si="0">(C8-B8)/B8</f>
        <v>0.24273368431508893</v>
      </c>
      <c r="D9" s="57">
        <f t="shared" si="0"/>
        <v>0.14678752417949575</v>
      </c>
      <c r="E9" s="58">
        <f t="shared" si="0"/>
        <v>9.0062298738412302E-2</v>
      </c>
      <c r="F9" s="58">
        <f t="shared" si="0"/>
        <v>8.0699999999999966E-2</v>
      </c>
      <c r="G9" s="58">
        <f t="shared" si="0"/>
        <v>6.5550000000000053E-2</v>
      </c>
      <c r="H9" s="58">
        <f t="shared" si="0"/>
        <v>5.5449999999999937E-2</v>
      </c>
      <c r="I9" s="58">
        <f t="shared" si="0"/>
        <v>5.0400000000000257E-2</v>
      </c>
    </row>
    <row r="11" spans="1:9" ht="15" customHeight="1" x14ac:dyDescent="0.25">
      <c r="A11" s="4" t="s">
        <v>181</v>
      </c>
      <c r="B11" s="4"/>
      <c r="C11" s="4"/>
      <c r="D11" s="4"/>
      <c r="E11" s="4"/>
      <c r="F11" s="4"/>
      <c r="G11" s="4"/>
      <c r="H11" s="4"/>
      <c r="I11" s="4"/>
    </row>
    <row r="12" spans="1:9" ht="15" customHeight="1" x14ac:dyDescent="0.25">
      <c r="A12" s="14" t="s">
        <v>182</v>
      </c>
      <c r="B12" s="15">
        <v>982</v>
      </c>
      <c r="C12" s="15">
        <v>1219</v>
      </c>
      <c r="D12" s="15">
        <v>1399</v>
      </c>
      <c r="E12" s="53">
        <f>E8*Assumptions!B33</f>
        <v>1524.8145705000002</v>
      </c>
      <c r="F12" s="53">
        <f>F8*Assumptions!B34</f>
        <v>1563.3611008860501</v>
      </c>
      <c r="G12" s="53">
        <f>G8*Assumptions!B34</f>
        <v>1665.8394210491308</v>
      </c>
      <c r="H12" s="53">
        <f>H8*Assumptions!B34</f>
        <v>1758.2102169463049</v>
      </c>
      <c r="I12" s="53">
        <f>I8*Assumptions!B34</f>
        <v>1846.8240118803992</v>
      </c>
    </row>
    <row r="13" spans="1:9" ht="15" customHeight="1" x14ac:dyDescent="0.25">
      <c r="A13" s="14" t="s">
        <v>183</v>
      </c>
      <c r="B13" s="15">
        <v>780.2</v>
      </c>
      <c r="C13" s="15">
        <v>969.6</v>
      </c>
      <c r="D13" s="15">
        <v>1111.9000000000001</v>
      </c>
      <c r="E13" s="53">
        <f>E8*Assumptions!B35</f>
        <v>1212.0320945000001</v>
      </c>
      <c r="F13" s="53">
        <f>F8*Assumptions!B35</f>
        <v>1309.8430845261501</v>
      </c>
      <c r="G13" s="53">
        <f>G8*Assumptions!B35</f>
        <v>1395.7032987168393</v>
      </c>
      <c r="H13" s="53">
        <f>H8*Assumptions!B35</f>
        <v>1473.0950466306879</v>
      </c>
      <c r="I13" s="53">
        <f>I8*Assumptions!B35</f>
        <v>1547.3390369808749</v>
      </c>
    </row>
    <row r="14" spans="1:9" ht="15" customHeight="1" x14ac:dyDescent="0.25">
      <c r="A14" s="14" t="s">
        <v>184</v>
      </c>
      <c r="B14" s="15">
        <v>221.5</v>
      </c>
      <c r="C14" s="15">
        <v>281.5</v>
      </c>
      <c r="D14" s="15">
        <v>322.8</v>
      </c>
      <c r="E14" s="53">
        <f>E8*Assumptions!B36</f>
        <v>351.88028550000001</v>
      </c>
      <c r="F14" s="53">
        <f>F8*Assumptions!B36</f>
        <v>380.27702453985</v>
      </c>
      <c r="G14" s="53">
        <f>G8*Assumptions!B36</f>
        <v>405.2041834984372</v>
      </c>
      <c r="H14" s="53">
        <f>H8*Assumptions!B36</f>
        <v>427.67275547342552</v>
      </c>
      <c r="I14" s="53">
        <f>I8*Assumptions!B36</f>
        <v>449.22746234928627</v>
      </c>
    </row>
    <row r="15" spans="1:9" ht="15" customHeight="1" x14ac:dyDescent="0.25">
      <c r="A15" s="14" t="s">
        <v>185</v>
      </c>
      <c r="B15" s="15">
        <v>553.70000000000005</v>
      </c>
      <c r="C15" s="15">
        <v>688.1</v>
      </c>
      <c r="D15" s="15">
        <v>789.1</v>
      </c>
      <c r="E15" s="53">
        <f>E8*Assumptions!B37</f>
        <v>860.15180900000007</v>
      </c>
      <c r="F15" s="53">
        <f>F8*Assumptions!B37</f>
        <v>929.56605998630005</v>
      </c>
      <c r="G15" s="53">
        <f>G8*Assumptions!B37</f>
        <v>990.49911521840204</v>
      </c>
      <c r="H15" s="53">
        <f>H8*Assumptions!B37</f>
        <v>1045.4222911572624</v>
      </c>
      <c r="I15" s="53">
        <f>I8*Assumptions!B37</f>
        <v>1098.1115746315886</v>
      </c>
    </row>
    <row r="16" spans="1:9" ht="15" customHeight="1" x14ac:dyDescent="0.25">
      <c r="A16" s="14" t="s">
        <v>186</v>
      </c>
      <c r="B16" s="15">
        <v>805.4</v>
      </c>
      <c r="C16" s="15">
        <v>829.7</v>
      </c>
      <c r="D16" s="15">
        <v>1103.5</v>
      </c>
      <c r="E16" s="53">
        <f>E8*Assumptions!B38</f>
        <v>1251.1299040000001</v>
      </c>
      <c r="F16" s="53">
        <f>F8*Assumptions!B38</f>
        <v>1352.0960872528001</v>
      </c>
      <c r="G16" s="53">
        <f>G8*Assumptions!B38</f>
        <v>1440.7259857722213</v>
      </c>
      <c r="H16" s="53">
        <f>H8*Assumptions!B38</f>
        <v>1520.6142416832909</v>
      </c>
      <c r="I16" s="53">
        <f>I8*Assumptions!B38</f>
        <v>1597.253199464129</v>
      </c>
    </row>
    <row r="17" spans="1:9" ht="15" customHeight="1" x14ac:dyDescent="0.25">
      <c r="A17" s="23" t="s">
        <v>187</v>
      </c>
      <c r="B17" s="59">
        <f t="shared" ref="B17:I17" si="1">B12+B13+B14+B15+B16</f>
        <v>3342.8</v>
      </c>
      <c r="C17" s="59">
        <f t="shared" si="1"/>
        <v>3987.8999999999996</v>
      </c>
      <c r="D17" s="59">
        <f t="shared" si="1"/>
        <v>4726.3</v>
      </c>
      <c r="E17" s="60">
        <f t="shared" si="1"/>
        <v>5200.0086634999998</v>
      </c>
      <c r="F17" s="60">
        <f t="shared" si="1"/>
        <v>5535.1433571911502</v>
      </c>
      <c r="G17" s="60">
        <f t="shared" si="1"/>
        <v>5897.9720042550298</v>
      </c>
      <c r="H17" s="60">
        <f t="shared" si="1"/>
        <v>6225.0145518909712</v>
      </c>
      <c r="I17" s="60">
        <f t="shared" si="1"/>
        <v>6538.7552853062771</v>
      </c>
    </row>
    <row r="18" spans="1:9" ht="15" customHeight="1" x14ac:dyDescent="0.25">
      <c r="A18" s="23" t="s">
        <v>19</v>
      </c>
      <c r="B18" s="61">
        <f t="shared" ref="B18:I18" si="2">B8-B17</f>
        <v>1690.6999999999998</v>
      </c>
      <c r="C18" s="61">
        <f t="shared" si="2"/>
        <v>2267.4000000000005</v>
      </c>
      <c r="D18" s="61">
        <f t="shared" si="2"/>
        <v>2447.1999999999998</v>
      </c>
      <c r="E18" s="62">
        <f t="shared" si="2"/>
        <v>2619.5532365000008</v>
      </c>
      <c r="F18" s="62">
        <f t="shared" si="2"/>
        <v>2915.4571881388501</v>
      </c>
      <c r="G18" s="62">
        <f t="shared" si="2"/>
        <v>3106.5654068213526</v>
      </c>
      <c r="H18" s="62">
        <f t="shared" si="2"/>
        <v>3278.8244586295959</v>
      </c>
      <c r="I18" s="62">
        <f t="shared" si="2"/>
        <v>3444.0772113445291</v>
      </c>
    </row>
    <row r="19" spans="1:9" ht="15" customHeight="1" x14ac:dyDescent="0.25">
      <c r="A19" s="27" t="s">
        <v>188</v>
      </c>
      <c r="B19" s="57">
        <f t="shared" ref="B19:I19" si="3">B18/B8</f>
        <v>0.33588954008145422</v>
      </c>
      <c r="C19" s="57">
        <f t="shared" si="3"/>
        <v>0.36247661982638729</v>
      </c>
      <c r="D19" s="57">
        <f t="shared" si="3"/>
        <v>0.34114449013731091</v>
      </c>
      <c r="E19" s="58">
        <f t="shared" si="3"/>
        <v>0.33500000000000008</v>
      </c>
      <c r="F19" s="58">
        <f t="shared" si="3"/>
        <v>0.34499999999999997</v>
      </c>
      <c r="G19" s="58">
        <f t="shared" si="3"/>
        <v>0.34500000000000008</v>
      </c>
      <c r="H19" s="58">
        <f t="shared" si="3"/>
        <v>0.34500000000000003</v>
      </c>
      <c r="I19" s="58">
        <f t="shared" si="3"/>
        <v>0.34500000000000008</v>
      </c>
    </row>
    <row r="20" spans="1:9" ht="15" customHeight="1" x14ac:dyDescent="0.25">
      <c r="A20" s="14" t="s">
        <v>189</v>
      </c>
      <c r="B20" s="15">
        <v>-185.2</v>
      </c>
      <c r="C20" s="15">
        <v>-248.8</v>
      </c>
      <c r="D20" s="15">
        <v>-282.10000000000002</v>
      </c>
      <c r="E20" s="53">
        <f>-E8*Assumptions!B45</f>
        <v>-304.96291410000003</v>
      </c>
      <c r="F20" s="53">
        <f>-F8*Assumptions!B45</f>
        <v>-329.57342126787</v>
      </c>
      <c r="G20" s="53">
        <f>-G8*Assumptions!B45</f>
        <v>-351.17695903197892</v>
      </c>
      <c r="H20" s="53">
        <f>-H8*Assumptions!B45</f>
        <v>-370.64972141030211</v>
      </c>
      <c r="I20" s="53">
        <f>-I8*Assumptions!B45</f>
        <v>-389.33046736938144</v>
      </c>
    </row>
    <row r="21" spans="1:9" ht="15" customHeight="1" x14ac:dyDescent="0.25">
      <c r="A21" s="23" t="s">
        <v>17</v>
      </c>
      <c r="B21" s="63">
        <f t="shared" ref="B21:I21" si="4">B18+B20</f>
        <v>1505.4999999999998</v>
      </c>
      <c r="C21" s="63">
        <f t="shared" si="4"/>
        <v>2018.6000000000006</v>
      </c>
      <c r="D21" s="63">
        <f t="shared" si="4"/>
        <v>2165.1</v>
      </c>
      <c r="E21" s="64">
        <f t="shared" si="4"/>
        <v>2314.5903224000008</v>
      </c>
      <c r="F21" s="64">
        <f t="shared" si="4"/>
        <v>2585.8837668709803</v>
      </c>
      <c r="G21" s="64">
        <f t="shared" si="4"/>
        <v>2755.3884477893735</v>
      </c>
      <c r="H21" s="64">
        <f t="shared" si="4"/>
        <v>2908.174737219294</v>
      </c>
      <c r="I21" s="64">
        <f t="shared" si="4"/>
        <v>3054.7467439751476</v>
      </c>
    </row>
    <row r="22" spans="1:9" ht="15" customHeight="1" x14ac:dyDescent="0.25">
      <c r="A22" s="27" t="s">
        <v>190</v>
      </c>
      <c r="B22" s="57">
        <f t="shared" ref="B22:I22" si="5">B21/B8</f>
        <v>0.29909605642197273</v>
      </c>
      <c r="C22" s="57">
        <f t="shared" si="5"/>
        <v>0.32270234840854961</v>
      </c>
      <c r="D22" s="57">
        <f t="shared" si="5"/>
        <v>0.30181919565065868</v>
      </c>
      <c r="E22" s="58">
        <f t="shared" si="5"/>
        <v>0.2960000000000001</v>
      </c>
      <c r="F22" s="58">
        <f t="shared" si="5"/>
        <v>0.30599999999999999</v>
      </c>
      <c r="G22" s="58">
        <f t="shared" si="5"/>
        <v>0.30600000000000005</v>
      </c>
      <c r="H22" s="58">
        <f t="shared" si="5"/>
        <v>0.30600000000000005</v>
      </c>
      <c r="I22" s="58">
        <f t="shared" si="5"/>
        <v>0.30600000000000011</v>
      </c>
    </row>
    <row r="24" spans="1:9" ht="15" customHeight="1" x14ac:dyDescent="0.25">
      <c r="A24" s="4" t="s">
        <v>191</v>
      </c>
      <c r="B24" s="4"/>
      <c r="C24" s="4"/>
      <c r="D24" s="4"/>
      <c r="E24" s="4"/>
      <c r="F24" s="4"/>
      <c r="G24" s="4"/>
      <c r="H24" s="4"/>
      <c r="I24" s="4"/>
    </row>
    <row r="25" spans="1:9" ht="15" customHeight="1" x14ac:dyDescent="0.25">
      <c r="A25" s="14" t="s">
        <v>192</v>
      </c>
      <c r="B25" s="15">
        <v>18.5</v>
      </c>
      <c r="C25" s="15">
        <v>41.2</v>
      </c>
      <c r="D25" s="15">
        <v>52.3</v>
      </c>
      <c r="E25" s="65">
        <f>25</f>
        <v>25</v>
      </c>
      <c r="F25" s="65">
        <f>25</f>
        <v>25</v>
      </c>
      <c r="G25" s="65">
        <f>25</f>
        <v>25</v>
      </c>
      <c r="H25" s="65">
        <f>25</f>
        <v>25</v>
      </c>
      <c r="I25" s="65">
        <f>25</f>
        <v>25</v>
      </c>
    </row>
    <row r="26" spans="1:9" ht="15" customHeight="1" x14ac:dyDescent="0.25">
      <c r="A26" s="14" t="s">
        <v>193</v>
      </c>
      <c r="B26" s="15">
        <v>-90.8</v>
      </c>
      <c r="C26" s="15">
        <v>-125.2</v>
      </c>
      <c r="D26" s="15">
        <v>-135.5</v>
      </c>
      <c r="E26" s="53">
        <f>-(E21+E25)*Assumptions!B14</f>
        <v>-584.8975806000002</v>
      </c>
      <c r="F26" s="53">
        <f>-(F21+F25)*Assumptions!B14</f>
        <v>-652.72094171774506</v>
      </c>
      <c r="G26" s="53">
        <f>-(G21+G25)*Assumptions!B14</f>
        <v>-695.09711194734336</v>
      </c>
      <c r="H26" s="53">
        <f>-(H21+H25)*Assumptions!B14</f>
        <v>-733.2936843048235</v>
      </c>
      <c r="I26" s="53">
        <f>-(I21+I25)*Assumptions!B14</f>
        <v>-769.93668599378691</v>
      </c>
    </row>
    <row r="27" spans="1:9" ht="15" customHeight="1" x14ac:dyDescent="0.25">
      <c r="A27" s="23" t="s">
        <v>20</v>
      </c>
      <c r="B27" s="66">
        <v>290.8</v>
      </c>
      <c r="C27" s="66">
        <v>399.2</v>
      </c>
      <c r="D27" s="66">
        <v>446.8</v>
      </c>
      <c r="E27" s="64">
        <f>E21+E25+E26</f>
        <v>1754.6927418000005</v>
      </c>
      <c r="F27" s="64">
        <f>F21+F25+F26</f>
        <v>1958.1628251532352</v>
      </c>
      <c r="G27" s="64">
        <f>G21+G25+G26</f>
        <v>2085.2913358420301</v>
      </c>
      <c r="H27" s="64">
        <f>H21+H25+H26</f>
        <v>2199.8810529144703</v>
      </c>
      <c r="I27" s="64">
        <f>I21+I25+I26</f>
        <v>2309.8100579813608</v>
      </c>
    </row>
  </sheetData>
  <mergeCells count="5">
    <mergeCell ref="A1:I1"/>
    <mergeCell ref="A2:I2"/>
    <mergeCell ref="A5:I5"/>
    <mergeCell ref="A11:I11"/>
    <mergeCell ref="A24:I2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1"/>
  <sheetViews>
    <sheetView showGridLines="0" tabSelected="1" zoomScaleNormal="100" workbookViewId="0">
      <pane xSplit="1" ySplit="4" topLeftCell="B5" activePane="bottomRight" state="frozen"/>
      <selection pane="topRight" activeCell="B1" sqref="B1"/>
      <selection pane="bottomLeft" activeCell="A5" sqref="A5"/>
      <selection pane="bottomRight" sqref="A1:I1"/>
    </sheetView>
  </sheetViews>
  <sheetFormatPr defaultColWidth="8.7109375" defaultRowHeight="15" x14ac:dyDescent="0.25"/>
  <cols>
    <col min="1" max="1" width="34" customWidth="1"/>
    <col min="2" max="9" width="13" customWidth="1"/>
  </cols>
  <sheetData>
    <row r="1" spans="1:9" ht="24" customHeight="1" x14ac:dyDescent="0.25">
      <c r="A1" s="6" t="s">
        <v>194</v>
      </c>
      <c r="B1" s="6"/>
      <c r="C1" s="6"/>
      <c r="D1" s="6"/>
      <c r="E1" s="6"/>
      <c r="F1" s="6"/>
      <c r="G1" s="6"/>
      <c r="H1" s="6"/>
      <c r="I1" s="6"/>
    </row>
    <row r="2" spans="1:9" ht="15" customHeight="1" x14ac:dyDescent="0.25">
      <c r="A2" s="5" t="s">
        <v>195</v>
      </c>
      <c r="B2" s="5"/>
      <c r="C2" s="5"/>
      <c r="D2" s="5"/>
      <c r="E2" s="5"/>
      <c r="F2" s="5"/>
      <c r="G2" s="5"/>
      <c r="H2" s="5"/>
      <c r="I2" s="5"/>
    </row>
    <row r="4" spans="1:9" ht="15" customHeight="1" x14ac:dyDescent="0.25">
      <c r="A4" s="19"/>
      <c r="B4" s="51" t="s">
        <v>12</v>
      </c>
      <c r="C4" s="51" t="s">
        <v>13</v>
      </c>
      <c r="D4" s="51" t="s">
        <v>14</v>
      </c>
      <c r="E4" s="52" t="s">
        <v>15</v>
      </c>
      <c r="F4" s="52" t="s">
        <v>174</v>
      </c>
      <c r="G4" s="52" t="s">
        <v>175</v>
      </c>
      <c r="H4" s="52" t="s">
        <v>176</v>
      </c>
      <c r="I4" s="52" t="s">
        <v>177</v>
      </c>
    </row>
    <row r="5" spans="1:9" ht="15" customHeight="1" x14ac:dyDescent="0.25">
      <c r="A5" s="4" t="s">
        <v>196</v>
      </c>
      <c r="B5" s="4"/>
      <c r="C5" s="4"/>
      <c r="D5" s="4"/>
      <c r="E5" s="4"/>
      <c r="F5" s="4"/>
      <c r="G5" s="4"/>
      <c r="H5" s="4"/>
      <c r="I5" s="4"/>
    </row>
    <row r="6" spans="1:9" ht="15" customHeight="1" x14ac:dyDescent="0.25">
      <c r="A6" s="14" t="s">
        <v>17</v>
      </c>
      <c r="B6" s="15">
        <v>394</v>
      </c>
      <c r="C6" s="15">
        <v>428.2</v>
      </c>
      <c r="D6" s="15">
        <v>446.5</v>
      </c>
      <c r="E6" s="16">
        <f>'Income Statement'!E21</f>
        <v>2314.5903224000008</v>
      </c>
      <c r="F6" s="16">
        <f>'Income Statement'!F21</f>
        <v>2585.8837668709803</v>
      </c>
      <c r="G6" s="16">
        <f>'Income Statement'!G21</f>
        <v>2755.3884477893735</v>
      </c>
      <c r="H6" s="16">
        <f>'Income Statement'!H21</f>
        <v>2908.174737219294</v>
      </c>
      <c r="I6" s="16">
        <f>'Income Statement'!I21</f>
        <v>3054.7467439751476</v>
      </c>
    </row>
    <row r="7" spans="1:9" ht="15" customHeight="1" x14ac:dyDescent="0.25">
      <c r="A7" s="14" t="s">
        <v>197</v>
      </c>
      <c r="B7" s="56" t="s">
        <v>22</v>
      </c>
      <c r="C7" s="15">
        <v>-100</v>
      </c>
      <c r="D7" s="15">
        <v>-111.6</v>
      </c>
      <c r="E7" s="53">
        <f>-E6*Assumptions!B14</f>
        <v>-578.6475806000002</v>
      </c>
      <c r="F7" s="53">
        <f>-F6*Assumptions!B14</f>
        <v>-646.47094171774506</v>
      </c>
      <c r="G7" s="53">
        <f>-G6*Assumptions!B14</f>
        <v>-688.84711194734336</v>
      </c>
      <c r="H7" s="53">
        <f>-H6*Assumptions!B14</f>
        <v>-727.0436843048235</v>
      </c>
      <c r="I7" s="53">
        <f>-I6*Assumptions!B14</f>
        <v>-763.68668599378691</v>
      </c>
    </row>
    <row r="8" spans="1:9" ht="15" customHeight="1" x14ac:dyDescent="0.25">
      <c r="A8" s="23" t="s">
        <v>198</v>
      </c>
      <c r="B8" s="67">
        <v>394</v>
      </c>
      <c r="C8" s="67">
        <v>328.2</v>
      </c>
      <c r="D8" s="67">
        <v>334.9</v>
      </c>
      <c r="E8" s="68">
        <f>E6+E7</f>
        <v>1735.9427418000005</v>
      </c>
      <c r="F8" s="68">
        <f>F6+F7</f>
        <v>1939.4128251532352</v>
      </c>
      <c r="G8" s="68">
        <f>G6+G7</f>
        <v>2066.5413358420301</v>
      </c>
      <c r="H8" s="68">
        <f>H6+H7</f>
        <v>2181.1310529144703</v>
      </c>
      <c r="I8" s="68">
        <f>I6+I7</f>
        <v>2291.0600579813608</v>
      </c>
    </row>
    <row r="9" spans="1:9" ht="15" customHeight="1" x14ac:dyDescent="0.25">
      <c r="A9" s="14" t="s">
        <v>199</v>
      </c>
      <c r="B9" s="15">
        <v>185.2</v>
      </c>
      <c r="C9" s="15">
        <v>248.8</v>
      </c>
      <c r="D9" s="15">
        <v>282.10000000000002</v>
      </c>
      <c r="E9" s="16">
        <f>-'Income Statement'!E20</f>
        <v>304.96291410000003</v>
      </c>
      <c r="F9" s="16">
        <f>-'Income Statement'!F20</f>
        <v>329.57342126787</v>
      </c>
      <c r="G9" s="16">
        <f>-'Income Statement'!G20</f>
        <v>351.17695903197892</v>
      </c>
      <c r="H9" s="16">
        <f>-'Income Statement'!H20</f>
        <v>370.64972141030211</v>
      </c>
      <c r="I9" s="16">
        <f>-'Income Statement'!I20</f>
        <v>389.33046736938144</v>
      </c>
    </row>
    <row r="10" spans="1:9" ht="15" customHeight="1" x14ac:dyDescent="0.25">
      <c r="A10" s="14" t="s">
        <v>200</v>
      </c>
      <c r="B10" s="15">
        <v>-193.9</v>
      </c>
      <c r="C10" s="15">
        <v>-403.9</v>
      </c>
      <c r="D10" s="15">
        <v>-391.4</v>
      </c>
      <c r="E10" s="53">
        <f>-'Income Statement'!E8*Assumptions!B46</f>
        <v>-437.89546640000003</v>
      </c>
      <c r="F10" s="53">
        <f>-'Income Statement'!F8*Assumptions!B46</f>
        <v>-473.23363053848004</v>
      </c>
      <c r="G10" s="53">
        <f>-'Income Statement'!G8*Assumptions!B46</f>
        <v>-504.25409502027742</v>
      </c>
      <c r="H10" s="53">
        <f>-'Income Statement'!H8*Assumptions!B46</f>
        <v>-532.21498458915175</v>
      </c>
      <c r="I10" s="53">
        <f>-'Income Statement'!I8*Assumptions!B46</f>
        <v>-559.03861981244518</v>
      </c>
    </row>
    <row r="11" spans="1:9" ht="15" customHeight="1" x14ac:dyDescent="0.25">
      <c r="A11" s="69" t="s">
        <v>201</v>
      </c>
    </row>
    <row r="12" spans="1:9" ht="15" customHeight="1" x14ac:dyDescent="0.25">
      <c r="A12" s="27" t="s">
        <v>202</v>
      </c>
      <c r="B12" s="15">
        <f>Assumptions!B48*'Income Statement'!B8/365</f>
        <v>248.22739726027396</v>
      </c>
      <c r="C12" s="15">
        <f>Assumptions!B48*'Income Statement'!C8/365</f>
        <v>308.4805479452055</v>
      </c>
      <c r="D12" s="15">
        <f>Assumptions!B48*'Income Statement'!D8/365</f>
        <v>353.76164383561644</v>
      </c>
      <c r="E12" s="16">
        <f>Assumptions!B48*'Income Statement'!E8/365</f>
        <v>385.62223068493154</v>
      </c>
      <c r="F12" s="16">
        <f>Assumptions!B48*'Income Statement'!F8/365</f>
        <v>416.74194470120551</v>
      </c>
      <c r="G12" s="16">
        <f>Assumptions!B48*'Income Statement'!G8/365</f>
        <v>444.05937917636953</v>
      </c>
      <c r="H12" s="16">
        <f>Assumptions!B48*'Income Statement'!H8/365</f>
        <v>468.68247175169915</v>
      </c>
      <c r="I12" s="16">
        <f>Assumptions!B48*'Income Statement'!I8/365</f>
        <v>492.30406832798496</v>
      </c>
    </row>
    <row r="13" spans="1:9" ht="15" customHeight="1" x14ac:dyDescent="0.25">
      <c r="A13" s="27" t="s">
        <v>203</v>
      </c>
      <c r="B13" s="15">
        <f>Assumptions!B50*'Income Statement'!B8/365</f>
        <v>68.952054794520549</v>
      </c>
      <c r="C13" s="15">
        <f>Assumptions!B50*'Income Statement'!C8/365</f>
        <v>85.689041095890417</v>
      </c>
      <c r="D13" s="15">
        <f>Assumptions!B50*'Income Statement'!D8/365</f>
        <v>98.267123287671239</v>
      </c>
      <c r="E13" s="16">
        <f>Assumptions!B50*'Income Statement'!E8/365</f>
        <v>107.11728630136987</v>
      </c>
      <c r="F13" s="16">
        <f>Assumptions!B50*'Income Statement'!F8/365</f>
        <v>115.76165130589042</v>
      </c>
      <c r="G13" s="16">
        <f>Assumptions!B50*'Income Statement'!G8/365</f>
        <v>123.34982754899153</v>
      </c>
      <c r="H13" s="16">
        <f>Assumptions!B50*'Income Statement'!H8/365</f>
        <v>130.18957548658312</v>
      </c>
      <c r="I13" s="16">
        <f>Assumptions!B50*'Income Statement'!I8/365</f>
        <v>136.75113009110694</v>
      </c>
    </row>
    <row r="14" spans="1:9" ht="15" customHeight="1" x14ac:dyDescent="0.25">
      <c r="A14" s="27" t="s">
        <v>204</v>
      </c>
      <c r="B14" s="15">
        <f>-Assumptions!B49*'Income Statement'!B8/365</f>
        <v>-620.56849315068496</v>
      </c>
      <c r="C14" s="15">
        <f>-Assumptions!B49*'Income Statement'!C8/365</f>
        <v>-771.20136986301372</v>
      </c>
      <c r="D14" s="15">
        <f>-Assumptions!B49*'Income Statement'!D8/365</f>
        <v>-884.40410958904113</v>
      </c>
      <c r="E14" s="16">
        <f>-Assumptions!B49*'Income Statement'!E8/365</f>
        <v>-964.05557671232873</v>
      </c>
      <c r="F14" s="16">
        <f>-Assumptions!B49*'Income Statement'!F8/365</f>
        <v>-1041.8548617530137</v>
      </c>
      <c r="G14" s="16">
        <f>-Assumptions!B49*'Income Statement'!G8/365</f>
        <v>-1110.1484479409239</v>
      </c>
      <c r="H14" s="16">
        <f>-Assumptions!B49*'Income Statement'!H8/365</f>
        <v>-1171.7061793792479</v>
      </c>
      <c r="I14" s="16">
        <f>-Assumptions!B49*'Income Statement'!I8/365</f>
        <v>-1230.7601708199625</v>
      </c>
    </row>
    <row r="15" spans="1:9" ht="15" customHeight="1" x14ac:dyDescent="0.25">
      <c r="A15" s="23" t="s">
        <v>205</v>
      </c>
      <c r="B15" s="61">
        <f t="shared" ref="B15:I15" si="0">B12+B13+B14</f>
        <v>-303.38904109589043</v>
      </c>
      <c r="C15" s="61">
        <f t="shared" si="0"/>
        <v>-377.03178082191778</v>
      </c>
      <c r="D15" s="61">
        <f t="shared" si="0"/>
        <v>-432.37534246575342</v>
      </c>
      <c r="E15" s="70">
        <f t="shared" si="0"/>
        <v>-471.31605972602733</v>
      </c>
      <c r="F15" s="70">
        <f t="shared" si="0"/>
        <v>-509.35126574591777</v>
      </c>
      <c r="G15" s="70">
        <f t="shared" si="0"/>
        <v>-542.73924121556286</v>
      </c>
      <c r="H15" s="70">
        <f t="shared" si="0"/>
        <v>-572.83413214096572</v>
      </c>
      <c r="I15" s="70">
        <f t="shared" si="0"/>
        <v>-601.70497240087059</v>
      </c>
    </row>
    <row r="16" spans="1:9" ht="15" customHeight="1" x14ac:dyDescent="0.25">
      <c r="A16" s="14" t="s">
        <v>206</v>
      </c>
      <c r="B16" s="56" t="s">
        <v>22</v>
      </c>
      <c r="C16" s="71">
        <f t="shared" ref="C16:I16" si="1">-(C15-B15)</f>
        <v>73.642739726027344</v>
      </c>
      <c r="D16" s="71">
        <f t="shared" si="1"/>
        <v>55.343561643835642</v>
      </c>
      <c r="E16" s="53">
        <f t="shared" si="1"/>
        <v>38.940717260273914</v>
      </c>
      <c r="F16" s="53">
        <f t="shared" si="1"/>
        <v>38.035206019890438</v>
      </c>
      <c r="G16" s="53">
        <f t="shared" si="1"/>
        <v>33.387975469645085</v>
      </c>
      <c r="H16" s="53">
        <f t="shared" si="1"/>
        <v>30.094890925402865</v>
      </c>
      <c r="I16" s="53">
        <f t="shared" si="1"/>
        <v>28.870840259904867</v>
      </c>
    </row>
    <row r="17" spans="1:9" ht="15" customHeight="1" x14ac:dyDescent="0.25">
      <c r="A17" s="23" t="s">
        <v>196</v>
      </c>
      <c r="B17" s="72" t="s">
        <v>22</v>
      </c>
      <c r="C17" s="63">
        <f t="shared" ref="C17:I17" si="2">C8+C9+C10+C16</f>
        <v>246.74273972602737</v>
      </c>
      <c r="D17" s="63">
        <f t="shared" si="2"/>
        <v>280.94356164383566</v>
      </c>
      <c r="E17" s="64">
        <f t="shared" si="2"/>
        <v>1641.9509067602744</v>
      </c>
      <c r="F17" s="64">
        <f t="shared" si="2"/>
        <v>1833.7878219025154</v>
      </c>
      <c r="G17" s="64">
        <f t="shared" si="2"/>
        <v>1946.8521753233767</v>
      </c>
      <c r="H17" s="64">
        <f t="shared" si="2"/>
        <v>2049.6606806610234</v>
      </c>
      <c r="I17" s="64">
        <f t="shared" si="2"/>
        <v>2150.2227457982021</v>
      </c>
    </row>
    <row r="19" spans="1:9" ht="15" customHeight="1" x14ac:dyDescent="0.25">
      <c r="A19" s="4" t="s">
        <v>207</v>
      </c>
      <c r="B19" s="4"/>
      <c r="C19" s="4"/>
      <c r="D19" s="4"/>
      <c r="E19" s="4"/>
      <c r="F19" s="4"/>
      <c r="G19" s="4"/>
      <c r="H19" s="4"/>
      <c r="I19" s="4"/>
    </row>
    <row r="20" spans="1:9" ht="15" customHeight="1" x14ac:dyDescent="0.25">
      <c r="A20" s="27" t="s">
        <v>208</v>
      </c>
      <c r="B20" s="57">
        <f>-193.9/5033.5</f>
        <v>-3.8521903248236816E-2</v>
      </c>
      <c r="C20" s="57">
        <f>-403.9/6255.3</f>
        <v>-6.4569245280002546E-2</v>
      </c>
      <c r="D20" s="57">
        <f>-391.4/7173.5</f>
        <v>-5.4561929323203452E-2</v>
      </c>
      <c r="E20" s="58">
        <f>E10/'Income Statement'!E8</f>
        <v>-5.6000000000000001E-2</v>
      </c>
      <c r="F20" s="58">
        <f>F10/'Income Statement'!F8</f>
        <v>-5.6000000000000001E-2</v>
      </c>
      <c r="G20" s="58">
        <f>G10/'Income Statement'!G8</f>
        <v>-5.6000000000000001E-2</v>
      </c>
      <c r="H20" s="58">
        <f>H10/'Income Statement'!H8</f>
        <v>-5.6000000000000001E-2</v>
      </c>
      <c r="I20" s="58">
        <f>I10/'Income Statement'!I8</f>
        <v>-5.6000000000000001E-2</v>
      </c>
    </row>
    <row r="21" spans="1:9" ht="15" customHeight="1" x14ac:dyDescent="0.25">
      <c r="A21" s="27" t="s">
        <v>209</v>
      </c>
      <c r="B21" s="73">
        <f t="shared" ref="B21:I21" si="3">ABS(B10)/B9</f>
        <v>1.0469762419006481</v>
      </c>
      <c r="C21" s="73">
        <f t="shared" si="3"/>
        <v>1.6233922829581993</v>
      </c>
      <c r="D21" s="73">
        <f t="shared" si="3"/>
        <v>1.3874512584190002</v>
      </c>
      <c r="E21" s="74">
        <f t="shared" si="3"/>
        <v>1.4358974358974359</v>
      </c>
      <c r="F21" s="74">
        <f t="shared" si="3"/>
        <v>1.4358974358974359</v>
      </c>
      <c r="G21" s="74">
        <f t="shared" si="3"/>
        <v>1.4358974358974359</v>
      </c>
      <c r="H21" s="74">
        <f t="shared" si="3"/>
        <v>1.4358974358974359</v>
      </c>
      <c r="I21" s="74">
        <f t="shared" si="3"/>
        <v>1.4358974358974359</v>
      </c>
    </row>
  </sheetData>
  <mergeCells count="4">
    <mergeCell ref="A1:I1"/>
    <mergeCell ref="A2:I2"/>
    <mergeCell ref="A5:I5"/>
    <mergeCell ref="A19:I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6"/>
  <sheetViews>
    <sheetView showGridLines="0" zoomScaleNormal="100" workbookViewId="0">
      <pane ySplit="3" topLeftCell="A4" activePane="bottomLeft" state="frozen"/>
      <selection pane="bottomLeft" sqref="A1:H1"/>
    </sheetView>
  </sheetViews>
  <sheetFormatPr defaultColWidth="8.7109375" defaultRowHeight="15" x14ac:dyDescent="0.25"/>
  <cols>
    <col min="1" max="1" width="36" customWidth="1"/>
    <col min="2" max="8" width="14" customWidth="1"/>
  </cols>
  <sheetData>
    <row r="1" spans="1:8" ht="24" customHeight="1" x14ac:dyDescent="0.25">
      <c r="A1" s="6" t="s">
        <v>210</v>
      </c>
      <c r="B1" s="6"/>
      <c r="C1" s="6"/>
      <c r="D1" s="6"/>
      <c r="E1" s="6"/>
      <c r="F1" s="6"/>
      <c r="G1" s="6"/>
      <c r="H1" s="6"/>
    </row>
    <row r="2" spans="1:8" ht="15" customHeight="1" x14ac:dyDescent="0.25">
      <c r="A2" s="5" t="s">
        <v>211</v>
      </c>
      <c r="B2" s="5"/>
      <c r="C2" s="5"/>
      <c r="D2" s="5"/>
      <c r="E2" s="5"/>
      <c r="F2" s="5"/>
      <c r="G2" s="5"/>
      <c r="H2" s="5"/>
    </row>
    <row r="4" spans="1:8" ht="15" customHeight="1" x14ac:dyDescent="0.25">
      <c r="A4" s="75"/>
      <c r="B4" s="52" t="s">
        <v>15</v>
      </c>
      <c r="C4" s="52" t="s">
        <v>174</v>
      </c>
      <c r="D4" s="52" t="s">
        <v>175</v>
      </c>
      <c r="E4" s="52" t="s">
        <v>176</v>
      </c>
      <c r="F4" s="52" t="s">
        <v>177</v>
      </c>
      <c r="G4" s="20" t="s">
        <v>212</v>
      </c>
      <c r="H4" s="13" t="s">
        <v>213</v>
      </c>
    </row>
    <row r="5" spans="1:8" ht="15" customHeight="1" x14ac:dyDescent="0.25">
      <c r="A5" s="4" t="s">
        <v>214</v>
      </c>
      <c r="B5" s="4"/>
      <c r="C5" s="4"/>
      <c r="D5" s="4"/>
      <c r="E5" s="4"/>
      <c r="F5" s="4"/>
      <c r="G5" s="4"/>
      <c r="H5" s="4"/>
    </row>
    <row r="6" spans="1:8" ht="15" customHeight="1" x14ac:dyDescent="0.25">
      <c r="A6" s="14" t="s">
        <v>215</v>
      </c>
      <c r="B6" s="16">
        <f>'Cash Flow'!E17</f>
        <v>1641.9509067602744</v>
      </c>
      <c r="C6" s="16">
        <f>'Cash Flow'!F17</f>
        <v>1833.7878219025154</v>
      </c>
      <c r="D6" s="16">
        <f>'Cash Flow'!G17</f>
        <v>1946.8521753233767</v>
      </c>
      <c r="E6" s="16">
        <f>'Cash Flow'!H17</f>
        <v>2049.6606806610234</v>
      </c>
      <c r="F6" s="16">
        <f>'Cash Flow'!I17</f>
        <v>2150.2227457982021</v>
      </c>
      <c r="G6" s="56" t="s">
        <v>22</v>
      </c>
      <c r="H6" s="56" t="s">
        <v>22</v>
      </c>
    </row>
    <row r="7" spans="1:8" ht="15" customHeight="1" x14ac:dyDescent="0.25">
      <c r="A7" s="14" t="s">
        <v>216</v>
      </c>
      <c r="B7" s="42">
        <v>1</v>
      </c>
      <c r="C7" s="42">
        <v>2</v>
      </c>
      <c r="D7" s="42">
        <v>3</v>
      </c>
      <c r="E7" s="42">
        <v>4</v>
      </c>
      <c r="F7" s="42">
        <v>5</v>
      </c>
      <c r="G7" s="43" t="s">
        <v>217</v>
      </c>
    </row>
    <row r="8" spans="1:8" ht="15" customHeight="1" x14ac:dyDescent="0.25">
      <c r="A8" s="14" t="s">
        <v>218</v>
      </c>
      <c r="B8" s="76">
        <f>1/(1+WACC!B21)^B7</f>
        <v>0.92210091472410727</v>
      </c>
      <c r="C8" s="76">
        <f>1/(1+WACC!B21)^C7</f>
        <v>0.85027009693503541</v>
      </c>
      <c r="D8" s="76">
        <f>1/(1+WACC!B21)^D7</f>
        <v>0.78403483414635156</v>
      </c>
      <c r="E8" s="76">
        <f>1/(1+WACC!B21)^E7</f>
        <v>0.7229592377419144</v>
      </c>
      <c r="F8" s="76">
        <f>1/(1+WACC!B21)^F7</f>
        <v>0.66664137443006266</v>
      </c>
      <c r="G8" s="56" t="s">
        <v>22</v>
      </c>
    </row>
    <row r="9" spans="1:8" ht="15" customHeight="1" x14ac:dyDescent="0.25">
      <c r="A9" s="23" t="s">
        <v>219</v>
      </c>
      <c r="B9" s="62">
        <f>B6*B8</f>
        <v>1514.0444330557264</v>
      </c>
      <c r="C9" s="62">
        <f>C6*C8</f>
        <v>1559.2149490873392</v>
      </c>
      <c r="D9" s="62">
        <f>D6*D8</f>
        <v>1526.3999223871274</v>
      </c>
      <c r="E9" s="62">
        <f>E6*E8</f>
        <v>1481.8211233202669</v>
      </c>
      <c r="F9" s="62">
        <f>F6*F8</f>
        <v>1433.4274465896967</v>
      </c>
      <c r="G9" s="56" t="s">
        <v>22</v>
      </c>
      <c r="H9" s="77">
        <f>SUM(B9:F9)</f>
        <v>7514.9078744401568</v>
      </c>
    </row>
    <row r="11" spans="1:8" ht="15" customHeight="1" x14ac:dyDescent="0.25">
      <c r="A11" s="4" t="s">
        <v>220</v>
      </c>
      <c r="B11" s="4"/>
      <c r="C11" s="4"/>
      <c r="D11" s="4"/>
      <c r="E11" s="4"/>
      <c r="F11" s="4"/>
      <c r="G11" s="4"/>
      <c r="H11" s="4"/>
    </row>
    <row r="12" spans="1:8" ht="15" customHeight="1" x14ac:dyDescent="0.25">
      <c r="A12" s="14" t="s">
        <v>221</v>
      </c>
      <c r="B12" s="78">
        <f>F6*(1+Assumptions!B54)</f>
        <v>2203.9783144431572</v>
      </c>
      <c r="C12" s="2" t="s">
        <v>222</v>
      </c>
      <c r="D12" s="2"/>
      <c r="E12" s="2"/>
      <c r="F12" s="2"/>
      <c r="G12" s="2"/>
      <c r="H12" s="2"/>
    </row>
    <row r="13" spans="1:8" ht="15" customHeight="1" x14ac:dyDescent="0.25">
      <c r="A13" s="14" t="s">
        <v>8</v>
      </c>
      <c r="B13" s="44">
        <f>WACC!B21</f>
        <v>8.448E-2</v>
      </c>
      <c r="C13" s="2" t="s">
        <v>223</v>
      </c>
      <c r="D13" s="2"/>
      <c r="E13" s="2"/>
      <c r="F13" s="2"/>
      <c r="G13" s="2"/>
      <c r="H13" s="2"/>
    </row>
    <row r="14" spans="1:8" ht="15" customHeight="1" x14ac:dyDescent="0.25">
      <c r="A14" s="14" t="s">
        <v>224</v>
      </c>
      <c r="B14" s="44">
        <f>Assumptions!B54</f>
        <v>2.5000000000000001E-2</v>
      </c>
      <c r="C14" s="2" t="s">
        <v>225</v>
      </c>
      <c r="D14" s="2"/>
      <c r="E14" s="2"/>
      <c r="F14" s="2"/>
      <c r="G14" s="2"/>
      <c r="H14" s="2"/>
    </row>
    <row r="15" spans="1:8" ht="15" customHeight="1" x14ac:dyDescent="0.25">
      <c r="A15" s="23" t="s">
        <v>226</v>
      </c>
      <c r="B15" s="79">
        <f>B12/(B13-B14)</f>
        <v>37054.107505769287</v>
      </c>
    </row>
    <row r="16" spans="1:8" ht="15" customHeight="1" x14ac:dyDescent="0.25">
      <c r="A16" s="23" t="s">
        <v>227</v>
      </c>
      <c r="B16" s="62">
        <f>B15/(1+WACC!B21)^5</f>
        <v>24701.801155925339</v>
      </c>
    </row>
    <row r="18" spans="1:8" ht="15" customHeight="1" x14ac:dyDescent="0.25">
      <c r="A18" s="4" t="s">
        <v>228</v>
      </c>
      <c r="B18" s="4"/>
      <c r="C18" s="4"/>
      <c r="D18" s="4"/>
      <c r="E18" s="4"/>
      <c r="F18" s="4"/>
      <c r="G18" s="4"/>
      <c r="H18" s="4"/>
    </row>
    <row r="19" spans="1:8" ht="15" customHeight="1" x14ac:dyDescent="0.25">
      <c r="A19" s="14" t="s">
        <v>229</v>
      </c>
      <c r="B19" s="78">
        <f>H9</f>
        <v>7514.9078744401568</v>
      </c>
    </row>
    <row r="20" spans="1:8" ht="15" customHeight="1" x14ac:dyDescent="0.25">
      <c r="A20" s="14" t="s">
        <v>230</v>
      </c>
      <c r="B20" s="78">
        <f>B16</f>
        <v>24701.801155925339</v>
      </c>
    </row>
    <row r="21" spans="1:8" ht="15" customHeight="1" x14ac:dyDescent="0.25">
      <c r="A21" s="23" t="s">
        <v>231</v>
      </c>
      <c r="B21" s="62">
        <f>B20+B19</f>
        <v>32216.709030365495</v>
      </c>
    </row>
    <row r="23" spans="1:8" ht="15" customHeight="1" x14ac:dyDescent="0.25">
      <c r="A23" s="14" t="s">
        <v>232</v>
      </c>
      <c r="B23" s="80">
        <f>Assumptions!B56</f>
        <v>623.6</v>
      </c>
    </row>
    <row r="24" spans="1:8" ht="15" customHeight="1" x14ac:dyDescent="0.25">
      <c r="A24" s="23" t="s">
        <v>233</v>
      </c>
      <c r="B24" s="62">
        <f>B21+B23</f>
        <v>32840.309030365497</v>
      </c>
    </row>
    <row r="25" spans="1:8" ht="15" customHeight="1" x14ac:dyDescent="0.25">
      <c r="A25" s="14" t="s">
        <v>234</v>
      </c>
      <c r="B25" s="80">
        <f>Assumptions!B57</f>
        <v>203.2</v>
      </c>
    </row>
    <row r="26" spans="1:8" ht="15" customHeight="1" x14ac:dyDescent="0.25">
      <c r="A26" s="23" t="s">
        <v>4</v>
      </c>
      <c r="B26" s="81">
        <f>B24/B25</f>
        <v>161.6156940470743</v>
      </c>
    </row>
    <row r="27" spans="1:8" ht="15" customHeight="1" x14ac:dyDescent="0.25">
      <c r="A27" s="14" t="s">
        <v>5</v>
      </c>
      <c r="B27" s="82">
        <f>Assumptions!B58</f>
        <v>12.6</v>
      </c>
    </row>
    <row r="28" spans="1:8" ht="15" customHeight="1" x14ac:dyDescent="0.25">
      <c r="A28" s="23" t="s">
        <v>235</v>
      </c>
      <c r="B28" s="83">
        <f>(B26-B27)/B27</f>
        <v>11.826642384688437</v>
      </c>
    </row>
    <row r="31" spans="1:8" ht="15" customHeight="1" x14ac:dyDescent="0.25">
      <c r="A31" s="4" t="s">
        <v>236</v>
      </c>
      <c r="B31" s="4"/>
      <c r="C31" s="4"/>
      <c r="D31" s="4"/>
      <c r="E31" s="4"/>
      <c r="F31" s="4"/>
      <c r="G31" s="4"/>
      <c r="H31" s="4"/>
    </row>
    <row r="32" spans="1:8" ht="15" customHeight="1" x14ac:dyDescent="0.25">
      <c r="A32" s="27" t="s">
        <v>237</v>
      </c>
      <c r="B32" s="84">
        <f>B16/B21</f>
        <v>0.76673881036833824</v>
      </c>
      <c r="C32" s="2" t="s">
        <v>238</v>
      </c>
      <c r="D32" s="2"/>
      <c r="E32" s="2"/>
      <c r="F32" s="2"/>
      <c r="G32" s="2"/>
      <c r="H32" s="2"/>
    </row>
    <row r="33" spans="1:8" ht="15" customHeight="1" x14ac:dyDescent="0.25">
      <c r="A33" s="27" t="s">
        <v>239</v>
      </c>
      <c r="B33" s="85">
        <f>B21/7173.5</f>
        <v>4.4910725629560879</v>
      </c>
      <c r="C33" s="2" t="s">
        <v>240</v>
      </c>
      <c r="D33" s="2"/>
      <c r="E33" s="2"/>
      <c r="F33" s="2"/>
      <c r="G33" s="2"/>
      <c r="H33" s="2"/>
    </row>
    <row r="34" spans="1:8" ht="15" customHeight="1" x14ac:dyDescent="0.25">
      <c r="A34" s="27" t="s">
        <v>241</v>
      </c>
      <c r="B34" s="85">
        <f>B21/728.6</f>
        <v>44.2172783837023</v>
      </c>
      <c r="C34" s="2" t="s">
        <v>242</v>
      </c>
      <c r="D34" s="2"/>
      <c r="E34" s="2"/>
      <c r="F34" s="2"/>
      <c r="G34" s="2"/>
      <c r="H34" s="2"/>
    </row>
    <row r="35" spans="1:8" ht="15" customHeight="1" x14ac:dyDescent="0.25">
      <c r="A35" s="27" t="s">
        <v>243</v>
      </c>
      <c r="B35" s="85">
        <f>B26/2.2</f>
        <v>73.461679112306498</v>
      </c>
      <c r="C35" s="2" t="s">
        <v>244</v>
      </c>
      <c r="D35" s="2"/>
      <c r="E35" s="2"/>
      <c r="F35" s="2"/>
      <c r="G35" s="2"/>
      <c r="H35" s="2"/>
    </row>
    <row r="36" spans="1:8" ht="15" customHeight="1" x14ac:dyDescent="0.25">
      <c r="A36" s="27" t="s">
        <v>245</v>
      </c>
      <c r="B36" s="84">
        <f>WACC!B21-Assumptions!B54</f>
        <v>5.9479999999999998E-2</v>
      </c>
      <c r="C36" s="2" t="s">
        <v>246</v>
      </c>
      <c r="D36" s="2"/>
      <c r="E36" s="2"/>
      <c r="F36" s="2"/>
      <c r="G36" s="2"/>
      <c r="H36" s="2"/>
    </row>
  </sheetData>
  <mergeCells count="14">
    <mergeCell ref="C33:H33"/>
    <mergeCell ref="C34:H34"/>
    <mergeCell ref="C35:H35"/>
    <mergeCell ref="C36:H36"/>
    <mergeCell ref="C13:H13"/>
    <mergeCell ref="C14:H14"/>
    <mergeCell ref="A18:H18"/>
    <mergeCell ref="A31:H31"/>
    <mergeCell ref="C32:H32"/>
    <mergeCell ref="A1:H1"/>
    <mergeCell ref="A2:H2"/>
    <mergeCell ref="A5:H5"/>
    <mergeCell ref="A11:H11"/>
    <mergeCell ref="C12:H1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showGridLines="0" zoomScaleNormal="100" workbookViewId="0">
      <pane xSplit="1" ySplit="4" topLeftCell="B5" activePane="bottomRight" state="frozen"/>
      <selection pane="topRight" activeCell="B1" sqref="B1"/>
      <selection pane="bottomLeft" activeCell="A5" sqref="A5"/>
      <selection pane="bottomRight" activeCell="J19" sqref="J19"/>
    </sheetView>
  </sheetViews>
  <sheetFormatPr defaultColWidth="8.7109375" defaultRowHeight="15" x14ac:dyDescent="0.25"/>
  <cols>
    <col min="1" max="1" width="22" customWidth="1"/>
    <col min="2" max="8" width="13" customWidth="1"/>
  </cols>
  <sheetData>
    <row r="1" spans="1:8" ht="24" customHeight="1" x14ac:dyDescent="0.25">
      <c r="A1" s="6" t="s">
        <v>247</v>
      </c>
      <c r="B1" s="6"/>
      <c r="C1" s="6"/>
      <c r="D1" s="6"/>
      <c r="E1" s="6"/>
      <c r="F1" s="6"/>
      <c r="G1" s="6"/>
      <c r="H1" s="6"/>
    </row>
    <row r="2" spans="1:8" ht="15" customHeight="1" x14ac:dyDescent="0.25">
      <c r="A2" s="5" t="s">
        <v>248</v>
      </c>
      <c r="B2" s="5"/>
      <c r="C2" s="5"/>
      <c r="D2" s="5"/>
      <c r="E2" s="5"/>
      <c r="F2" s="5"/>
      <c r="G2" s="5"/>
      <c r="H2" s="5"/>
    </row>
    <row r="4" spans="1:8" ht="15" customHeight="1" x14ac:dyDescent="0.25">
      <c r="A4" s="1" t="s">
        <v>249</v>
      </c>
      <c r="B4" s="1"/>
      <c r="C4" s="1"/>
      <c r="D4" s="1"/>
      <c r="E4" s="1"/>
      <c r="F4" s="1"/>
      <c r="G4" s="1"/>
      <c r="H4" s="1"/>
    </row>
    <row r="5" spans="1:8" ht="15" customHeight="1" x14ac:dyDescent="0.25">
      <c r="A5" s="13" t="s">
        <v>250</v>
      </c>
      <c r="B5" s="47">
        <v>1.4999999999999999E-2</v>
      </c>
      <c r="C5" s="47">
        <v>0.02</v>
      </c>
      <c r="D5" s="47">
        <v>2.5000000000000001E-2</v>
      </c>
      <c r="E5" s="47">
        <v>0.03</v>
      </c>
      <c r="F5" s="47">
        <v>3.5000000000000003E-2</v>
      </c>
    </row>
    <row r="6" spans="1:8" ht="15" customHeight="1" x14ac:dyDescent="0.25">
      <c r="A6" s="47">
        <v>7.4999999999999997E-2</v>
      </c>
      <c r="B6" s="86">
        <v>25.3</v>
      </c>
      <c r="C6" s="86">
        <v>26.94</v>
      </c>
      <c r="D6" s="86">
        <v>28.92</v>
      </c>
      <c r="E6" s="86">
        <v>31.34</v>
      </c>
      <c r="F6" s="86">
        <v>34.36</v>
      </c>
    </row>
    <row r="7" spans="1:8" ht="15" customHeight="1" x14ac:dyDescent="0.25">
      <c r="A7" s="47">
        <v>0.08</v>
      </c>
      <c r="B7" s="86">
        <v>23.55</v>
      </c>
      <c r="C7" s="86">
        <v>24.91</v>
      </c>
      <c r="D7" s="86">
        <v>26.53</v>
      </c>
      <c r="E7" s="86">
        <v>28.47</v>
      </c>
      <c r="F7" s="86">
        <v>30.84</v>
      </c>
    </row>
    <row r="8" spans="1:8" ht="15" customHeight="1" x14ac:dyDescent="0.25">
      <c r="A8" s="47">
        <v>8.5000000000000006E-2</v>
      </c>
      <c r="B8" s="86">
        <v>22.05</v>
      </c>
      <c r="C8" s="86">
        <v>23.2</v>
      </c>
      <c r="D8" s="86">
        <v>24.54</v>
      </c>
      <c r="E8" s="86">
        <v>26.13</v>
      </c>
      <c r="F8" s="86">
        <v>28.03</v>
      </c>
    </row>
    <row r="9" spans="1:8" ht="15" customHeight="1" x14ac:dyDescent="0.25">
      <c r="A9" s="47">
        <v>0.09</v>
      </c>
      <c r="B9" s="86">
        <v>20.75</v>
      </c>
      <c r="C9" s="86">
        <v>21.73</v>
      </c>
      <c r="D9" s="87">
        <v>22.86</v>
      </c>
      <c r="E9" s="86">
        <v>24.18</v>
      </c>
      <c r="F9" s="86">
        <v>25.74</v>
      </c>
    </row>
    <row r="10" spans="1:8" ht="15" customHeight="1" x14ac:dyDescent="0.25">
      <c r="A10" s="47">
        <v>9.5000000000000001E-2</v>
      </c>
      <c r="B10" s="86">
        <v>19.61</v>
      </c>
      <c r="C10" s="86">
        <v>20.46</v>
      </c>
      <c r="D10" s="86">
        <v>21.42</v>
      </c>
      <c r="E10" s="86">
        <v>22.53</v>
      </c>
      <c r="F10" s="86">
        <v>23.82</v>
      </c>
    </row>
    <row r="11" spans="1:8" ht="15" customHeight="1" x14ac:dyDescent="0.25">
      <c r="A11" s="47">
        <v>0.1</v>
      </c>
      <c r="B11" s="86">
        <v>18.61</v>
      </c>
      <c r="C11" s="86">
        <v>19.34</v>
      </c>
      <c r="D11" s="86">
        <v>20.170000000000002</v>
      </c>
      <c r="E11" s="86">
        <v>21.11</v>
      </c>
      <c r="F11" s="86">
        <v>22.2</v>
      </c>
    </row>
    <row r="14" spans="1:8" ht="15" customHeight="1" x14ac:dyDescent="0.25">
      <c r="A14" s="1" t="s">
        <v>251</v>
      </c>
      <c r="B14" s="1"/>
      <c r="C14" s="1"/>
      <c r="D14" s="1"/>
      <c r="E14" s="1"/>
      <c r="F14" s="1"/>
      <c r="G14" s="1"/>
      <c r="H14" s="1"/>
    </row>
    <row r="15" spans="1:8" ht="15" customHeight="1" x14ac:dyDescent="0.25">
      <c r="A15" s="13" t="s">
        <v>252</v>
      </c>
      <c r="B15" s="47">
        <v>0.05</v>
      </c>
      <c r="C15" s="47">
        <v>5.5E-2</v>
      </c>
      <c r="D15" s="47">
        <v>0.06</v>
      </c>
      <c r="E15" s="47">
        <v>6.6000000000000003E-2</v>
      </c>
      <c r="F15" s="47">
        <v>7.0000000000000007E-2</v>
      </c>
      <c r="G15" s="47">
        <v>7.4999999999999997E-2</v>
      </c>
    </row>
    <row r="16" spans="1:8" ht="15" customHeight="1" x14ac:dyDescent="0.25">
      <c r="A16" s="47">
        <v>7.4999999999999997E-2</v>
      </c>
      <c r="B16" s="86">
        <v>18.2</v>
      </c>
      <c r="C16" s="86">
        <v>21.55</v>
      </c>
      <c r="D16" s="86">
        <v>24.9</v>
      </c>
      <c r="E16" s="86">
        <v>28.92</v>
      </c>
      <c r="F16" s="86">
        <v>31.6</v>
      </c>
      <c r="G16" s="86">
        <v>34.950000000000003</v>
      </c>
    </row>
    <row r="17" spans="1:8" ht="15" customHeight="1" x14ac:dyDescent="0.25">
      <c r="A17" s="47">
        <v>0.08</v>
      </c>
      <c r="B17" s="86">
        <v>16.8</v>
      </c>
      <c r="C17" s="86">
        <v>19.84</v>
      </c>
      <c r="D17" s="86">
        <v>22.88</v>
      </c>
      <c r="E17" s="86">
        <v>26.53</v>
      </c>
      <c r="F17" s="86">
        <v>28.96</v>
      </c>
      <c r="G17" s="86">
        <v>32.01</v>
      </c>
    </row>
    <row r="18" spans="1:8" ht="15" customHeight="1" x14ac:dyDescent="0.25">
      <c r="A18" s="47">
        <v>8.5000000000000006E-2</v>
      </c>
      <c r="B18" s="86">
        <v>15.63</v>
      </c>
      <c r="C18" s="86">
        <v>18.420000000000002</v>
      </c>
      <c r="D18" s="86">
        <v>21.2</v>
      </c>
      <c r="E18" s="86">
        <v>24.54</v>
      </c>
      <c r="F18" s="86">
        <v>26.77</v>
      </c>
      <c r="G18" s="86">
        <v>29.55</v>
      </c>
    </row>
    <row r="19" spans="1:8" ht="15" customHeight="1" x14ac:dyDescent="0.25">
      <c r="A19" s="47">
        <v>0.09</v>
      </c>
      <c r="B19" s="86">
        <v>14.65</v>
      </c>
      <c r="C19" s="86">
        <v>17.21</v>
      </c>
      <c r="D19" s="86">
        <v>19.78</v>
      </c>
      <c r="E19" s="87">
        <v>22.86</v>
      </c>
      <c r="F19" s="86">
        <v>24.91</v>
      </c>
      <c r="G19" s="86">
        <v>27.48</v>
      </c>
    </row>
    <row r="20" spans="1:8" ht="15" customHeight="1" x14ac:dyDescent="0.25">
      <c r="A20" s="47">
        <v>9.5000000000000001E-2</v>
      </c>
      <c r="B20" s="86">
        <v>13.8</v>
      </c>
      <c r="C20" s="86">
        <v>16.18</v>
      </c>
      <c r="D20" s="86">
        <v>18.559999999999999</v>
      </c>
      <c r="E20" s="86">
        <v>21.42</v>
      </c>
      <c r="F20" s="86">
        <v>23.32</v>
      </c>
      <c r="G20" s="86">
        <v>25.7</v>
      </c>
    </row>
    <row r="21" spans="1:8" ht="15" customHeight="1" x14ac:dyDescent="0.25">
      <c r="A21" s="47">
        <v>0.1</v>
      </c>
      <c r="B21" s="86">
        <v>13.07</v>
      </c>
      <c r="C21" s="86">
        <v>15.29</v>
      </c>
      <c r="D21" s="86">
        <v>17.510000000000002</v>
      </c>
      <c r="E21" s="86">
        <v>20.170000000000002</v>
      </c>
      <c r="F21" s="86">
        <v>21.94</v>
      </c>
      <c r="G21" s="86">
        <v>24.16</v>
      </c>
    </row>
    <row r="24" spans="1:8" ht="15" customHeight="1" x14ac:dyDescent="0.25">
      <c r="A24" s="2" t="s">
        <v>253</v>
      </c>
      <c r="B24" s="2"/>
      <c r="C24" s="2"/>
      <c r="D24" s="2"/>
      <c r="E24" s="2"/>
      <c r="F24" s="2"/>
      <c r="G24" s="2"/>
      <c r="H24" s="2"/>
    </row>
  </sheetData>
  <mergeCells count="5">
    <mergeCell ref="A1:H1"/>
    <mergeCell ref="A2:H2"/>
    <mergeCell ref="A4:H4"/>
    <mergeCell ref="A14:H14"/>
    <mergeCell ref="A24:H2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3"/>
  <sheetViews>
    <sheetView showGridLines="0" zoomScaleNormal="100" workbookViewId="0">
      <pane xSplit="1" ySplit="4" topLeftCell="B5" activePane="bottomRight" state="frozen"/>
      <selection pane="topRight" activeCell="B1" sqref="B1"/>
      <selection pane="bottomLeft" activeCell="A5" sqref="A5"/>
      <selection pane="bottomRight" activeCell="B6" sqref="B6"/>
    </sheetView>
  </sheetViews>
  <sheetFormatPr defaultColWidth="8.7109375" defaultRowHeight="15" x14ac:dyDescent="0.25"/>
  <cols>
    <col min="1" max="1" width="34" customWidth="1"/>
    <col min="2" max="4" width="18" customWidth="1"/>
  </cols>
  <sheetData>
    <row r="1" spans="1:4" ht="24" customHeight="1" x14ac:dyDescent="0.25">
      <c r="A1" s="6" t="s">
        <v>254</v>
      </c>
      <c r="B1" s="6"/>
      <c r="C1" s="6"/>
      <c r="D1" s="6"/>
    </row>
    <row r="2" spans="1:4" ht="15" customHeight="1" x14ac:dyDescent="0.25">
      <c r="A2" s="5" t="s">
        <v>255</v>
      </c>
      <c r="B2" s="5"/>
      <c r="C2" s="5"/>
      <c r="D2" s="5"/>
    </row>
    <row r="4" spans="1:4" ht="15" customHeight="1" x14ac:dyDescent="0.25">
      <c r="A4" s="8" t="s">
        <v>256</v>
      </c>
      <c r="B4" s="20" t="s">
        <v>257</v>
      </c>
      <c r="C4" s="88" t="s">
        <v>258</v>
      </c>
      <c r="D4" s="89" t="s">
        <v>259</v>
      </c>
    </row>
    <row r="5" spans="1:4" ht="15" customHeight="1" x14ac:dyDescent="0.25">
      <c r="A5" s="14" t="s">
        <v>260</v>
      </c>
      <c r="B5" s="90" t="s">
        <v>261</v>
      </c>
      <c r="C5" s="91" t="s">
        <v>262</v>
      </c>
      <c r="D5" s="92" t="s">
        <v>263</v>
      </c>
    </row>
    <row r="6" spans="1:4" ht="15" customHeight="1" x14ac:dyDescent="0.25">
      <c r="A6" s="14" t="s">
        <v>264</v>
      </c>
      <c r="B6" s="90" t="s">
        <v>265</v>
      </c>
      <c r="C6" s="91" t="s">
        <v>266</v>
      </c>
      <c r="D6" s="92" t="s">
        <v>267</v>
      </c>
    </row>
    <row r="7" spans="1:4" ht="15" customHeight="1" x14ac:dyDescent="0.25">
      <c r="A7" s="14" t="s">
        <v>8</v>
      </c>
      <c r="B7" s="90" t="s">
        <v>268</v>
      </c>
      <c r="C7" s="91" t="s">
        <v>269</v>
      </c>
      <c r="D7" s="92" t="s">
        <v>270</v>
      </c>
    </row>
    <row r="8" spans="1:4" ht="15" customHeight="1" x14ac:dyDescent="0.25">
      <c r="A8" s="14" t="s">
        <v>9</v>
      </c>
      <c r="B8" s="90" t="s">
        <v>271</v>
      </c>
      <c r="C8" s="91" t="s">
        <v>272</v>
      </c>
      <c r="D8" s="92" t="s">
        <v>273</v>
      </c>
    </row>
    <row r="9" spans="1:4" ht="15" customHeight="1" x14ac:dyDescent="0.25">
      <c r="A9" s="14" t="s">
        <v>274</v>
      </c>
      <c r="B9" s="90" t="s">
        <v>275</v>
      </c>
      <c r="C9" s="91" t="s">
        <v>276</v>
      </c>
      <c r="D9" s="92" t="s">
        <v>277</v>
      </c>
    </row>
    <row r="11" spans="1:4" ht="15" customHeight="1" x14ac:dyDescent="0.25">
      <c r="A11" s="23" t="s">
        <v>4</v>
      </c>
      <c r="B11" s="20" t="s">
        <v>278</v>
      </c>
      <c r="C11" s="21" t="s">
        <v>279</v>
      </c>
      <c r="D11" s="22" t="s">
        <v>280</v>
      </c>
    </row>
    <row r="12" spans="1:4" ht="15" customHeight="1" x14ac:dyDescent="0.25">
      <c r="A12" s="23" t="s">
        <v>281</v>
      </c>
      <c r="B12" s="20" t="s">
        <v>282</v>
      </c>
      <c r="C12" s="21" t="s">
        <v>283</v>
      </c>
      <c r="D12" s="22" t="s">
        <v>284</v>
      </c>
    </row>
    <row r="13" spans="1:4" ht="15" customHeight="1" x14ac:dyDescent="0.25">
      <c r="A13" s="23" t="s">
        <v>285</v>
      </c>
      <c r="B13" s="20" t="s">
        <v>286</v>
      </c>
      <c r="C13" s="21" t="s">
        <v>287</v>
      </c>
      <c r="D13" s="22" t="s">
        <v>30</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7"/>
  <sheetViews>
    <sheetView showGridLines="0" zoomScaleNormal="100" workbookViewId="0">
      <pane xSplit="1" ySplit="4" topLeftCell="B5" activePane="bottomRight" state="frozen"/>
      <selection pane="topRight" activeCell="B1" sqref="B1"/>
      <selection pane="bottomLeft" activeCell="A5" sqref="A5"/>
      <selection pane="bottomRight" activeCell="C8" sqref="C8"/>
    </sheetView>
  </sheetViews>
  <sheetFormatPr defaultColWidth="8.7109375" defaultRowHeight="15" x14ac:dyDescent="0.25"/>
  <cols>
    <col min="1" max="1" width="28" customWidth="1"/>
    <col min="2" max="8" width="13" customWidth="1"/>
  </cols>
  <sheetData>
    <row r="1" spans="1:8" ht="24" customHeight="1" x14ac:dyDescent="0.25">
      <c r="A1" s="6" t="s">
        <v>288</v>
      </c>
      <c r="B1" s="6"/>
      <c r="C1" s="6"/>
      <c r="D1" s="6"/>
      <c r="E1" s="6"/>
      <c r="F1" s="6"/>
      <c r="G1" s="6"/>
      <c r="H1" s="6"/>
    </row>
    <row r="2" spans="1:8" ht="15" customHeight="1" x14ac:dyDescent="0.25">
      <c r="A2" s="5" t="s">
        <v>289</v>
      </c>
      <c r="B2" s="5"/>
      <c r="C2" s="5"/>
      <c r="D2" s="5"/>
      <c r="E2" s="5"/>
      <c r="F2" s="5"/>
      <c r="G2" s="5"/>
      <c r="H2" s="5"/>
    </row>
    <row r="4" spans="1:8" ht="15" customHeight="1" x14ac:dyDescent="0.25">
      <c r="A4" s="7" t="s">
        <v>290</v>
      </c>
      <c r="B4" s="93" t="s">
        <v>281</v>
      </c>
      <c r="C4" s="93" t="s">
        <v>291</v>
      </c>
      <c r="D4" s="93" t="s">
        <v>292</v>
      </c>
      <c r="E4" s="93" t="s">
        <v>293</v>
      </c>
      <c r="F4" s="93" t="s">
        <v>294</v>
      </c>
      <c r="G4" s="93" t="s">
        <v>295</v>
      </c>
      <c r="H4" s="93" t="s">
        <v>82</v>
      </c>
    </row>
    <row r="5" spans="1:8" ht="15" customHeight="1" x14ac:dyDescent="0.25">
      <c r="A5" s="14" t="s">
        <v>296</v>
      </c>
      <c r="B5" s="94">
        <v>18200</v>
      </c>
      <c r="C5" s="94">
        <v>14800</v>
      </c>
      <c r="D5" s="94">
        <v>4100</v>
      </c>
      <c r="E5" s="95">
        <f>B5/C5</f>
        <v>1.2297297297297298</v>
      </c>
      <c r="F5" s="95">
        <f>B5/D5</f>
        <v>4.4390243902439028</v>
      </c>
      <c r="G5" s="96" t="s">
        <v>297</v>
      </c>
      <c r="H5" s="31" t="s">
        <v>298</v>
      </c>
    </row>
    <row r="6" spans="1:8" ht="15" customHeight="1" x14ac:dyDescent="0.25">
      <c r="A6" s="14" t="s">
        <v>299</v>
      </c>
      <c r="B6" s="94">
        <v>5800</v>
      </c>
      <c r="C6" s="94">
        <v>7200</v>
      </c>
      <c r="D6" s="94">
        <v>1150</v>
      </c>
      <c r="E6" s="95">
        <f>B6/C6</f>
        <v>0.80555555555555558</v>
      </c>
      <c r="F6" s="95">
        <f>B6/D6</f>
        <v>5.0434782608695654</v>
      </c>
      <c r="G6" s="96" t="s">
        <v>297</v>
      </c>
      <c r="H6" s="31" t="s">
        <v>300</v>
      </c>
    </row>
    <row r="7" spans="1:8" ht="15" customHeight="1" x14ac:dyDescent="0.25">
      <c r="A7" s="14" t="s">
        <v>301</v>
      </c>
      <c r="B7" s="94">
        <v>3200</v>
      </c>
      <c r="C7" s="94">
        <v>5100</v>
      </c>
      <c r="D7" s="94">
        <v>820</v>
      </c>
      <c r="E7" s="95">
        <f>B7/C7</f>
        <v>0.62745098039215685</v>
      </c>
      <c r="F7" s="95">
        <f>B7/D7</f>
        <v>3.9024390243902438</v>
      </c>
      <c r="G7" s="96" t="s">
        <v>297</v>
      </c>
      <c r="H7" s="31" t="s">
        <v>302</v>
      </c>
    </row>
    <row r="8" spans="1:8" ht="15" customHeight="1" x14ac:dyDescent="0.25">
      <c r="A8" s="14" t="s">
        <v>303</v>
      </c>
      <c r="B8" s="94">
        <v>4900</v>
      </c>
      <c r="C8" s="94">
        <v>8800</v>
      </c>
      <c r="D8" s="94">
        <v>950</v>
      </c>
      <c r="E8" s="95">
        <f>B8/C8</f>
        <v>0.55681818181818177</v>
      </c>
      <c r="F8" s="95">
        <f>B8/D8</f>
        <v>5.1578947368421053</v>
      </c>
      <c r="G8" s="96" t="s">
        <v>297</v>
      </c>
      <c r="H8" s="31" t="s">
        <v>304</v>
      </c>
    </row>
    <row r="9" spans="1:8" ht="15" customHeight="1" x14ac:dyDescent="0.25">
      <c r="A9" s="14" t="s">
        <v>305</v>
      </c>
      <c r="B9" s="94">
        <v>11500</v>
      </c>
      <c r="C9" s="94">
        <v>11200</v>
      </c>
      <c r="D9" s="94">
        <v>2600</v>
      </c>
      <c r="E9" s="95">
        <f>B9/C9</f>
        <v>1.0267857142857142</v>
      </c>
      <c r="F9" s="95">
        <f>B9/D9</f>
        <v>4.4230769230769234</v>
      </c>
      <c r="G9" s="96" t="s">
        <v>297</v>
      </c>
      <c r="H9" s="31" t="s">
        <v>306</v>
      </c>
    </row>
    <row r="11" spans="1:8" ht="15" customHeight="1" x14ac:dyDescent="0.25">
      <c r="A11" s="97" t="s">
        <v>307</v>
      </c>
      <c r="B11" s="98" t="s">
        <v>22</v>
      </c>
      <c r="C11" s="98" t="s">
        <v>22</v>
      </c>
      <c r="D11" s="98" t="s">
        <v>22</v>
      </c>
      <c r="E11" s="99">
        <f>MEDIAN(E5,E6,E7,E8,E9)</f>
        <v>0.80555555555555558</v>
      </c>
      <c r="F11" s="99">
        <f>MEDIAN(F5,F6,F7,F8,F9)</f>
        <v>4.4390243902439028</v>
      </c>
      <c r="G11" s="98" t="s">
        <v>22</v>
      </c>
      <c r="H11" s="31"/>
    </row>
    <row r="12" spans="1:8" ht="15" customHeight="1" x14ac:dyDescent="0.25">
      <c r="A12" s="97" t="s">
        <v>308</v>
      </c>
      <c r="B12" s="98" t="s">
        <v>22</v>
      </c>
      <c r="C12" s="98" t="s">
        <v>22</v>
      </c>
      <c r="D12" s="98" t="s">
        <v>22</v>
      </c>
      <c r="E12" s="99">
        <f>AVERAGE(E5,E6,E7,E8,E9)</f>
        <v>0.84926803235626758</v>
      </c>
      <c r="F12" s="99">
        <f>AVERAGE(F5,F6,F7,F8,F9)</f>
        <v>4.5931826670845481</v>
      </c>
      <c r="G12" s="98" t="s">
        <v>22</v>
      </c>
      <c r="H12" s="31"/>
    </row>
    <row r="14" spans="1:8" ht="15" customHeight="1" x14ac:dyDescent="0.25">
      <c r="A14" s="100" t="s">
        <v>309</v>
      </c>
      <c r="B14" s="101" t="s">
        <v>310</v>
      </c>
      <c r="C14" s="102">
        <v>7174</v>
      </c>
      <c r="D14" s="102">
        <v>729</v>
      </c>
      <c r="E14" s="101" t="s">
        <v>310</v>
      </c>
      <c r="F14" s="101" t="s">
        <v>310</v>
      </c>
      <c r="G14" s="101" t="s">
        <v>310</v>
      </c>
      <c r="H14" s="31" t="s">
        <v>311</v>
      </c>
    </row>
    <row r="17" spans="1:8" ht="15" customHeight="1" x14ac:dyDescent="0.25">
      <c r="A17" s="2" t="s">
        <v>312</v>
      </c>
      <c r="B17" s="2"/>
      <c r="C17" s="2"/>
      <c r="D17" s="2"/>
      <c r="E17" s="2"/>
      <c r="F17" s="2"/>
      <c r="G17" s="2"/>
      <c r="H17" s="2"/>
    </row>
  </sheetData>
  <mergeCells count="3">
    <mergeCell ref="A1:H1"/>
    <mergeCell ref="A2:H2"/>
    <mergeCell ref="A17:H17"/>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2"/>
  <sheetViews>
    <sheetView showGridLines="0" zoomScaleNormal="100" workbookViewId="0">
      <pane ySplit="3" topLeftCell="A4" activePane="bottomLeft" state="frozen"/>
      <selection pane="bottomLeft" activeCell="D15" sqref="D15"/>
    </sheetView>
  </sheetViews>
  <sheetFormatPr defaultColWidth="8.7109375" defaultRowHeight="15" x14ac:dyDescent="0.25"/>
  <cols>
    <col min="1" max="1" width="38" customWidth="1"/>
    <col min="2" max="3" width="16" customWidth="1"/>
    <col min="4" max="4" width="30" customWidth="1"/>
  </cols>
  <sheetData>
    <row r="1" spans="1:4" ht="24" customHeight="1" x14ac:dyDescent="0.25">
      <c r="A1" s="6" t="s">
        <v>313</v>
      </c>
      <c r="B1" s="6"/>
      <c r="C1" s="6"/>
      <c r="D1" s="6"/>
    </row>
    <row r="2" spans="1:4" ht="15" customHeight="1" x14ac:dyDescent="0.25">
      <c r="A2" s="5" t="s">
        <v>314</v>
      </c>
      <c r="B2" s="5"/>
      <c r="C2" s="5"/>
      <c r="D2" s="5"/>
    </row>
    <row r="4" spans="1:4" ht="15" customHeight="1" x14ac:dyDescent="0.25">
      <c r="A4" s="7" t="s">
        <v>315</v>
      </c>
      <c r="B4" s="93" t="s">
        <v>81</v>
      </c>
      <c r="C4" s="93" t="s">
        <v>316</v>
      </c>
      <c r="D4" s="93" t="s">
        <v>317</v>
      </c>
    </row>
    <row r="5" spans="1:4" ht="15" customHeight="1" x14ac:dyDescent="0.25">
      <c r="A5" s="14" t="s">
        <v>318</v>
      </c>
      <c r="B5" s="103">
        <f>WACC!B21-Assumptions!B54</f>
        <v>5.9479999999999998E-2</v>
      </c>
      <c r="C5" s="104" t="str">
        <f>IF(B5&gt;0,"✓ PASS","✗ FAIL")</f>
        <v>✓ PASS</v>
      </c>
      <c r="D5" s="31" t="s">
        <v>319</v>
      </c>
    </row>
    <row r="6" spans="1:4" ht="15" customHeight="1" x14ac:dyDescent="0.25">
      <c r="A6" s="14" t="s">
        <v>320</v>
      </c>
      <c r="B6" s="103">
        <f>'DCF Valuation'!B16/'DCF Valuation'!B21</f>
        <v>0.76673881036833824</v>
      </c>
      <c r="C6" s="104" t="str">
        <f>IF(AND(B6&gt;0.4,B6&lt;0.9),"✓ PASS","⚠ REVIEW")</f>
        <v>✓ PASS</v>
      </c>
      <c r="D6" s="31" t="s">
        <v>321</v>
      </c>
    </row>
    <row r="7" spans="1:4" ht="15" customHeight="1" x14ac:dyDescent="0.25">
      <c r="A7" s="14" t="s">
        <v>322</v>
      </c>
      <c r="B7" s="105">
        <f>WACC!B16+WACC!B17</f>
        <v>1</v>
      </c>
      <c r="C7" s="104" t="str">
        <f>IF(ABS(B7-1)&lt;0.001,"✓ PASS","✗ FAIL")</f>
        <v>✓ PASS</v>
      </c>
      <c r="D7" s="31" t="s">
        <v>323</v>
      </c>
    </row>
    <row r="8" spans="1:4" ht="15" customHeight="1" x14ac:dyDescent="0.25">
      <c r="A8" s="14" t="s">
        <v>324</v>
      </c>
      <c r="B8" s="80">
        <f>MIN('Cash Flow'!E17,'Cash Flow'!F17,'Cash Flow'!G17,'Cash Flow'!H17,'Cash Flow'!I17)</f>
        <v>1641.9509067602744</v>
      </c>
      <c r="C8" s="104" t="str">
        <f>IF(B8&gt;0,"✓ PASS","⚠ REVIEW")</f>
        <v>✓ PASS</v>
      </c>
      <c r="D8" s="31" t="s">
        <v>319</v>
      </c>
    </row>
    <row r="9" spans="1:4" ht="15" customHeight="1" x14ac:dyDescent="0.25">
      <c r="A9" s="14" t="s">
        <v>325</v>
      </c>
      <c r="B9" s="80">
        <f>'Income Statement'!E8-'Income Statement'!D8</f>
        <v>646.06190000000061</v>
      </c>
      <c r="C9" s="104" t="str">
        <f>IF(B9&gt;0,"✓ PASS","✗ FAIL")</f>
        <v>✓ PASS</v>
      </c>
      <c r="D9" s="31" t="s">
        <v>319</v>
      </c>
    </row>
    <row r="10" spans="1:4" ht="15" customHeight="1" x14ac:dyDescent="0.25">
      <c r="A10" s="14" t="s">
        <v>326</v>
      </c>
      <c r="B10" s="106">
        <f>ABS('Cash Flow'!E10)/'Cash Flow'!E9</f>
        <v>1.4358974358974359</v>
      </c>
      <c r="C10" s="104" t="str">
        <f>IF(B10&gt;1,"✓ PASS","⚠ REVIEW")</f>
        <v>✓ PASS</v>
      </c>
      <c r="D10" s="31" t="s">
        <v>327</v>
      </c>
    </row>
    <row r="11" spans="1:4" ht="15" customHeight="1" x14ac:dyDescent="0.25">
      <c r="A11" s="14" t="s">
        <v>328</v>
      </c>
      <c r="B11" s="82">
        <f>'DCF Valuation'!B26</f>
        <v>161.6156940470743</v>
      </c>
      <c r="C11" s="104" t="str">
        <f>IF(B11&gt;0,"✓ PASS","✗ FAIL")</f>
        <v>✓ PASS</v>
      </c>
      <c r="D11" s="31" t="s">
        <v>319</v>
      </c>
    </row>
    <row r="12" spans="1:4" ht="15" customHeight="1" x14ac:dyDescent="0.25">
      <c r="A12" s="14" t="s">
        <v>329</v>
      </c>
      <c r="B12" s="44">
        <f>WACC!B21</f>
        <v>8.448E-2</v>
      </c>
      <c r="C12" s="104" t="str">
        <f>IF(AND(B12&gt;0.07,B12&lt;0.12),"✓ PASS","⚠ REVIEW")</f>
        <v>✓ PASS</v>
      </c>
      <c r="D12" s="31" t="s">
        <v>330</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9"/>
  <sheetViews>
    <sheetView showGridLines="0" zoomScaleNormal="100" workbookViewId="0">
      <pane ySplit="3" topLeftCell="A4" activePane="bottomLeft" state="frozen"/>
      <selection pane="bottomLeft" activeCell="B5" sqref="B5"/>
    </sheetView>
  </sheetViews>
  <sheetFormatPr defaultColWidth="8.7109375" defaultRowHeight="15" x14ac:dyDescent="0.25"/>
  <cols>
    <col min="1" max="1" width="22" customWidth="1"/>
    <col min="2" max="2" width="72" customWidth="1"/>
  </cols>
  <sheetData>
    <row r="1" spans="1:2" ht="24" customHeight="1" x14ac:dyDescent="0.25">
      <c r="A1" s="6" t="s">
        <v>331</v>
      </c>
      <c r="B1" s="6"/>
    </row>
    <row r="2" spans="1:2" ht="15" customHeight="1" x14ac:dyDescent="0.25">
      <c r="A2" s="5" t="s">
        <v>366</v>
      </c>
      <c r="B2" s="5"/>
    </row>
    <row r="4" spans="1:2" ht="15" customHeight="1" x14ac:dyDescent="0.25">
      <c r="A4" s="4" t="s">
        <v>332</v>
      </c>
      <c r="B4" s="4"/>
    </row>
    <row r="5" spans="1:2" ht="48" x14ac:dyDescent="0.25">
      <c r="A5" s="8" t="s">
        <v>333</v>
      </c>
      <c r="B5" s="107" t="s">
        <v>334</v>
      </c>
    </row>
    <row r="6" spans="1:2" ht="48" x14ac:dyDescent="0.25">
      <c r="A6" s="8" t="s">
        <v>335</v>
      </c>
      <c r="B6" s="107" t="s">
        <v>336</v>
      </c>
    </row>
    <row r="8" spans="1:2" ht="15" customHeight="1" x14ac:dyDescent="0.25">
      <c r="A8" s="4" t="s">
        <v>337</v>
      </c>
      <c r="B8" s="4"/>
    </row>
    <row r="9" spans="1:2" ht="51.75" customHeight="1" x14ac:dyDescent="0.25">
      <c r="A9" s="8" t="s">
        <v>338</v>
      </c>
      <c r="B9" s="107" t="s">
        <v>339</v>
      </c>
    </row>
    <row r="10" spans="1:2" ht="72" x14ac:dyDescent="0.25">
      <c r="A10" s="8" t="s">
        <v>340</v>
      </c>
      <c r="B10" s="107" t="s">
        <v>367</v>
      </c>
    </row>
    <row r="11" spans="1:2" ht="72" x14ac:dyDescent="0.25">
      <c r="A11" s="8" t="s">
        <v>341</v>
      </c>
      <c r="B11" s="107" t="s">
        <v>368</v>
      </c>
    </row>
    <row r="13" spans="1:2" ht="15" customHeight="1" x14ac:dyDescent="0.25">
      <c r="A13" s="4" t="s">
        <v>342</v>
      </c>
      <c r="B13" s="4"/>
    </row>
    <row r="14" spans="1:2" ht="51.75" customHeight="1" x14ac:dyDescent="0.25">
      <c r="A14" s="8" t="s">
        <v>343</v>
      </c>
      <c r="B14" s="107" t="s">
        <v>344</v>
      </c>
    </row>
    <row r="15" spans="1:2" ht="51.75" customHeight="1" x14ac:dyDescent="0.25">
      <c r="A15" s="8" t="s">
        <v>345</v>
      </c>
      <c r="B15" s="107" t="s">
        <v>346</v>
      </c>
    </row>
    <row r="16" spans="1:2" ht="51.75" customHeight="1" x14ac:dyDescent="0.25">
      <c r="A16" s="8" t="s">
        <v>347</v>
      </c>
      <c r="B16" s="107" t="s">
        <v>348</v>
      </c>
    </row>
    <row r="17" spans="1:2" ht="51.75" customHeight="1" x14ac:dyDescent="0.25">
      <c r="A17" s="8" t="s">
        <v>44</v>
      </c>
      <c r="B17" s="107" t="s">
        <v>349</v>
      </c>
    </row>
    <row r="19" spans="1:2" ht="15" customHeight="1" x14ac:dyDescent="0.25">
      <c r="A19" s="4" t="s">
        <v>350</v>
      </c>
      <c r="B19" s="4"/>
    </row>
    <row r="20" spans="1:2" ht="51.75" customHeight="1" x14ac:dyDescent="0.25">
      <c r="A20" s="8" t="s">
        <v>351</v>
      </c>
      <c r="B20" s="107" t="s">
        <v>352</v>
      </c>
    </row>
    <row r="21" spans="1:2" ht="51.75" customHeight="1" x14ac:dyDescent="0.25">
      <c r="A21" s="8" t="s">
        <v>353</v>
      </c>
      <c r="B21" s="107" t="s">
        <v>354</v>
      </c>
    </row>
    <row r="22" spans="1:2" ht="51.75" customHeight="1" x14ac:dyDescent="0.25">
      <c r="A22" s="8" t="s">
        <v>355</v>
      </c>
      <c r="B22" s="107" t="s">
        <v>356</v>
      </c>
    </row>
    <row r="23" spans="1:2" ht="51.75" customHeight="1" x14ac:dyDescent="0.25">
      <c r="A23" s="8" t="s">
        <v>357</v>
      </c>
      <c r="B23" s="107" t="s">
        <v>358</v>
      </c>
    </row>
    <row r="25" spans="1:2" ht="15" customHeight="1" x14ac:dyDescent="0.25">
      <c r="A25" s="4" t="s">
        <v>359</v>
      </c>
      <c r="B25" s="4"/>
    </row>
    <row r="26" spans="1:2" ht="51.75" customHeight="1" x14ac:dyDescent="0.25">
      <c r="A26" s="8" t="s">
        <v>360</v>
      </c>
      <c r="B26" s="107" t="s">
        <v>361</v>
      </c>
    </row>
    <row r="28" spans="1:2" ht="15" customHeight="1" x14ac:dyDescent="0.25">
      <c r="A28" s="4" t="s">
        <v>362</v>
      </c>
      <c r="B28" s="4"/>
    </row>
    <row r="29" spans="1:2" ht="51.75" customHeight="1" x14ac:dyDescent="0.25">
      <c r="A29" s="8" t="s">
        <v>363</v>
      </c>
      <c r="B29" s="107" t="s">
        <v>364</v>
      </c>
    </row>
  </sheetData>
  <mergeCells count="8">
    <mergeCell ref="A19:B19"/>
    <mergeCell ref="A25:B25"/>
    <mergeCell ref="A28:B28"/>
    <mergeCell ref="A1:B1"/>
    <mergeCell ref="A2:B2"/>
    <mergeCell ref="A4:B4"/>
    <mergeCell ref="A8:B8"/>
    <mergeCell ref="A13:B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Assumptions</vt:lpstr>
      <vt:lpstr>WACC</vt:lpstr>
      <vt:lpstr>Income Statement</vt:lpstr>
      <vt:lpstr>Cash Flow</vt:lpstr>
      <vt:lpstr>DCF Valuation</vt:lpstr>
      <vt:lpstr>Sensitivity</vt:lpstr>
      <vt:lpstr>Scenarios</vt:lpstr>
      <vt:lpstr>Comparables</vt:lpstr>
      <vt:lpstr>Model Checks</vt:lpstr>
      <vt:lpstr>Investment Memo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Yassin Alyassin</cp:lastModifiedBy>
  <cp:revision>0</cp:revision>
  <dcterms:created xsi:type="dcterms:W3CDTF">2026-03-13T05:30:21Z</dcterms:created>
  <dcterms:modified xsi:type="dcterms:W3CDTF">2026-03-13T05:41:09Z</dcterms:modified>
  <dc:language>en-US</dc:language>
</cp:coreProperties>
</file>