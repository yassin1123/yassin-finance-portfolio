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7a148474250f21e/Desktop/"/>
    </mc:Choice>
  </mc:AlternateContent>
  <xr:revisionPtr revIDLastSave="0" documentId="8_{F0CF4635-B6E5-44D6-985E-681A89EA2EA5}" xr6:coauthVersionLast="47" xr6:coauthVersionMax="47" xr10:uidLastSave="{00000000-0000-0000-0000-000000000000}"/>
  <bookViews>
    <workbookView xWindow="-120" yWindow="-120" windowWidth="29040" windowHeight="15720" tabRatio="500" xr2:uid="{00000000-000D-0000-FFFF-FFFF00000000}"/>
  </bookViews>
  <sheets>
    <sheet name="Dashboard" sheetId="1" r:id="rId1"/>
    <sheet name="Deal Assumptions" sheetId="2" r:id="rId2"/>
    <sheet name="Accretion &amp; Dilution" sheetId="3" r:id="rId3"/>
    <sheet name="Synergy Bridge" sheetId="4" r:id="rId4"/>
    <sheet name="Pro Forma P&amp;L" sheetId="5" r:id="rId5"/>
    <sheet name="Deal Memo"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5" i="5" l="1"/>
  <c r="E12" i="5"/>
  <c r="F11" i="5"/>
  <c r="C10" i="5"/>
  <c r="C12" i="5" s="1"/>
  <c r="B10" i="5"/>
  <c r="B12" i="5" s="1"/>
  <c r="F9" i="5"/>
  <c r="D8" i="5"/>
  <c r="F8" i="5" s="1"/>
  <c r="C7" i="5"/>
  <c r="B7" i="5"/>
  <c r="D6" i="5"/>
  <c r="D5" i="5"/>
  <c r="F5" i="5" s="1"/>
  <c r="E17" i="4"/>
  <c r="D17" i="4"/>
  <c r="C17" i="4"/>
  <c r="B17" i="4"/>
  <c r="E11" i="4"/>
  <c r="E20" i="4" s="1"/>
  <c r="D11" i="4"/>
  <c r="D20" i="4" s="1"/>
  <c r="D23" i="4" s="1"/>
  <c r="C11" i="4"/>
  <c r="C20" i="4" s="1"/>
  <c r="C23" i="4" s="1"/>
  <c r="B11" i="4"/>
  <c r="D33" i="3"/>
  <c r="C33" i="3"/>
  <c r="B33" i="3"/>
  <c r="D32" i="3"/>
  <c r="C32" i="3"/>
  <c r="B32" i="3"/>
  <c r="D26" i="3"/>
  <c r="C26" i="3"/>
  <c r="B26" i="3"/>
  <c r="D18" i="3"/>
  <c r="C18" i="3"/>
  <c r="B18" i="3"/>
  <c r="D17" i="3"/>
  <c r="C17" i="3"/>
  <c r="B17" i="3"/>
  <c r="D13" i="3"/>
  <c r="C13" i="3"/>
  <c r="B13" i="3"/>
  <c r="D12" i="3"/>
  <c r="C12" i="3"/>
  <c r="B12" i="3"/>
  <c r="D11" i="3"/>
  <c r="D14" i="3" s="1"/>
  <c r="C11" i="3"/>
  <c r="C14" i="3" s="1"/>
  <c r="B11" i="3"/>
  <c r="B14" i="3" s="1"/>
  <c r="D7" i="3"/>
  <c r="C7" i="3"/>
  <c r="B7" i="3"/>
  <c r="D6" i="3"/>
  <c r="D8" i="3" s="1"/>
  <c r="C6" i="3"/>
  <c r="C8" i="3" s="1"/>
  <c r="B6" i="3"/>
  <c r="B8" i="3" s="1"/>
  <c r="B46" i="2"/>
  <c r="B48" i="2" s="1"/>
  <c r="B35" i="2"/>
  <c r="B37" i="2" s="1"/>
  <c r="B39" i="2" s="1"/>
  <c r="B26" i="2"/>
  <c r="B13" i="2"/>
  <c r="B15" i="2" s="1"/>
  <c r="B11" i="2"/>
  <c r="B12" i="1"/>
  <c r="B11" i="1"/>
  <c r="B10" i="1"/>
  <c r="B6" i="1"/>
  <c r="E13" i="5" l="1"/>
  <c r="E14" i="5" s="1"/>
  <c r="C13" i="5"/>
  <c r="C14" i="5" s="1"/>
  <c r="C16" i="5" s="1"/>
  <c r="B13" i="5"/>
  <c r="B14" i="5" s="1"/>
  <c r="B16" i="5" s="1"/>
  <c r="D10" i="5"/>
  <c r="D12" i="5" s="1"/>
  <c r="F6" i="5"/>
  <c r="F10" i="5" s="1"/>
  <c r="F12" i="5" s="1"/>
  <c r="E23" i="4"/>
  <c r="B25" i="4"/>
  <c r="B26" i="4"/>
  <c r="B20" i="4"/>
  <c r="B23" i="4" s="1"/>
  <c r="B36" i="3"/>
  <c r="B15" i="1" s="1"/>
  <c r="C36" i="3"/>
  <c r="D36" i="3"/>
  <c r="D19" i="3"/>
  <c r="D20" i="3" s="1"/>
  <c r="D21" i="3" s="1"/>
  <c r="C19" i="3"/>
  <c r="C20" i="3" s="1"/>
  <c r="C21" i="3" s="1"/>
  <c r="B19" i="3"/>
  <c r="B20" i="3" s="1"/>
  <c r="B21" i="3" s="1"/>
  <c r="B17" i="2"/>
  <c r="B22" i="2" s="1"/>
  <c r="B5" i="1"/>
  <c r="D13" i="5" l="1"/>
  <c r="D14" i="5"/>
  <c r="D16" i="5" s="1"/>
  <c r="F13" i="5"/>
  <c r="F14" i="5"/>
  <c r="D22" i="3"/>
  <c r="D23" i="3" s="1"/>
  <c r="C22" i="3"/>
  <c r="C23" i="3" s="1"/>
  <c r="B22" i="3"/>
  <c r="B23" i="3" s="1"/>
  <c r="B27" i="2"/>
  <c r="B23" i="2"/>
  <c r="D31" i="3" l="1"/>
  <c r="D37" i="3" s="1"/>
  <c r="D34" i="3"/>
  <c r="D35" i="3" s="1"/>
  <c r="D38" i="3" s="1"/>
  <c r="D39" i="3" s="1"/>
  <c r="B19" i="1" s="1"/>
  <c r="C31" i="3"/>
  <c r="C37" i="3" s="1"/>
  <c r="C34" i="3"/>
  <c r="C35" i="3" s="1"/>
  <c r="C38" i="3" s="1"/>
  <c r="C39" i="3" s="1"/>
  <c r="B18" i="1" s="1"/>
  <c r="B31" i="3"/>
  <c r="B37" i="3" s="1"/>
  <c r="B34" i="3"/>
  <c r="B35" i="3" s="1"/>
  <c r="F15" i="5"/>
  <c r="F16" i="5" s="1"/>
  <c r="B9" i="1"/>
  <c r="B27" i="3"/>
  <c r="B28" i="3" s="1"/>
  <c r="C27" i="3"/>
  <c r="C28" i="3" s="1"/>
  <c r="D27" i="3"/>
  <c r="D28" i="3" s="1"/>
  <c r="B8" i="1"/>
  <c r="B24" i="2"/>
  <c r="B7" i="1" s="1"/>
  <c r="B16" i="1" l="1"/>
  <c r="B38" i="3"/>
  <c r="B39" i="3" s="1"/>
  <c r="B17" i="1" s="1"/>
</calcChain>
</file>

<file path=xl/sharedStrings.xml><?xml version="1.0" encoding="utf-8"?>
<sst xmlns="http://schemas.openxmlformats.org/spreadsheetml/2006/main" count="254" uniqueCount="240">
  <si>
    <t>BROADCOM / VMWARE M&amp;A MODEL — DASHBOARD</t>
  </si>
  <si>
    <t>$69bn deal | Closed Oct 2023 | Analyst: Yassin Al-Yassin | March 2026</t>
  </si>
  <si>
    <t>DEAL SUMMARY</t>
  </si>
  <si>
    <t>Transaction Enterprise Value ($bn)</t>
  </si>
  <si>
    <t>Offer Premium to Unaffected (%)</t>
  </si>
  <si>
    <t>Cash / Debt Financing (%)</t>
  </si>
  <si>
    <t>Stock Financing (%)</t>
  </si>
  <si>
    <t>New Shares Issued to VMware (m)</t>
  </si>
  <si>
    <t>Annual Interest on New Debt ($bn)</t>
  </si>
  <si>
    <t>Synergy Realisation Costs ($bn)</t>
  </si>
  <si>
    <t>Cost Synergies Full Run-Rate ($bn)</t>
  </si>
  <si>
    <t>ACCRETION / DILUTION SUMMARY</t>
  </si>
  <si>
    <t>Broadcom Standalone EPS Yr1 ($)</t>
  </si>
  <si>
    <t>Pro Forma EPS with Synergies Yr1 ($)</t>
  </si>
  <si>
    <t>EPS Accretion Yr1 (with synergies)</t>
  </si>
  <si>
    <t>EPS Accretion Yr2 (with synergies)</t>
  </si>
  <si>
    <t>EPS Accretion Yr3 (with synergies)</t>
  </si>
  <si>
    <t>NAVIGATION</t>
  </si>
  <si>
    <t>Deal Assumptions</t>
  </si>
  <si>
    <t>Transaction terms, financing mix, standalone financials, synergy inputs</t>
  </si>
  <si>
    <t>Accretion &amp; Dilution</t>
  </si>
  <si>
    <t>Year 1–3 EPS bridge: pre-synergy and post-synergy accretion analysis</t>
  </si>
  <si>
    <t>Synergy Bridge</t>
  </si>
  <si>
    <t>Cost and revenue synergy waterfall with realisation timeline and NPV</t>
  </si>
  <si>
    <t>Pro Forma P&amp;L</t>
  </si>
  <si>
    <t>Side-by-side: AVGO standalone | VMW standalone | Combined | Pro forma</t>
  </si>
  <si>
    <t>Deal Memo</t>
  </si>
  <si>
    <t>Full deal analysis: thesis, accretion rationale, risks, financing, sources</t>
  </si>
  <si>
    <t>BROADCOM / VMWARE — M&amp;A MODEL ASSUMPTIONS</t>
  </si>
  <si>
    <t>Blue = input | Black = formula | Source: SEC filings, press releases, company annual reports</t>
  </si>
  <si>
    <t>Blue = Hardcoded input</t>
  </si>
  <si>
    <t>Black = Formula</t>
  </si>
  <si>
    <t>Green = Cross-sheet link</t>
  </si>
  <si>
    <t>DEAL TERMS</t>
  </si>
  <si>
    <t xml:space="preserve">  VMware Share Price at Announcement ($)</t>
  </si>
  <si>
    <t>May 26 2022 unaffected price; Source: Bloomberg</t>
  </si>
  <si>
    <t xml:space="preserve">  Offer Price per VMware Share ($)</t>
  </si>
  <si>
    <t>$142.50/share announced; Source: Broadcom press release May 2022</t>
  </si>
  <si>
    <t xml:space="preserve">  Offer Premium to Unaffected (%)</t>
  </si>
  <si>
    <t>(Offer price minus unaffected) divided by unaffected</t>
  </si>
  <si>
    <t xml:space="preserve">  VMware Diluted Shares Outstanding (m)</t>
  </si>
  <si>
    <t>Source: VMware 10-K FY2022, p.F-8</t>
  </si>
  <si>
    <t xml:space="preserve">  VMware Equity Value at Offer ($bn)</t>
  </si>
  <si>
    <t>Offer price x shares / 1000</t>
  </si>
  <si>
    <t xml:space="preserve">  VMware Net Debt Assumed ($bn)</t>
  </si>
  <si>
    <t>Source: VMware balance sheet FY2022</t>
  </si>
  <si>
    <t xml:space="preserve">  Transaction Enterprise Value ($bn)</t>
  </si>
  <si>
    <t>EV = equity value + net debt assumed</t>
  </si>
  <si>
    <t xml:space="preserve">  Transaction Fees ($bn)</t>
  </si>
  <si>
    <t>Estimated advisory, legal, financing fees ~1.2% EV</t>
  </si>
  <si>
    <t xml:space="preserve">  Total Uses ($bn)</t>
  </si>
  <si>
    <t>Total uses = EV + fees</t>
  </si>
  <si>
    <t>FINANCING MIX (SOURCES)</t>
  </si>
  <si>
    <t xml:space="preserve">  Cash Consideration ($bn)</t>
  </si>
  <si>
    <t>Broadcom cash on hand + new debt raised</t>
  </si>
  <si>
    <t xml:space="preserve">  New Debt Raised ($bn)</t>
  </si>
  <si>
    <t>Term loans + bonds; SOFR+350bps blended</t>
  </si>
  <si>
    <t xml:space="preserve">  Stock Consideration ($bn)</t>
  </si>
  <si>
    <t>Stock = total uses minus cash minus new debt</t>
  </si>
  <si>
    <t xml:space="preserve">  Stock Consideration (% of deal)</t>
  </si>
  <si>
    <t>Stock pct = stock / total uses</t>
  </si>
  <si>
    <t xml:space="preserve">  Cash + Debt (% of deal)</t>
  </si>
  <si>
    <t>Cash+debt pct = 1 minus stock pct</t>
  </si>
  <si>
    <t xml:space="preserve">  New Debt Interest Rate (blended)</t>
  </si>
  <si>
    <t>Blended rate on acquisition financing</t>
  </si>
  <si>
    <t xml:space="preserve">  Annual Interest on New Debt ($bn)</t>
  </si>
  <si>
    <t>Annual interest = new debt x interest rate</t>
  </si>
  <si>
    <t xml:space="preserve">  Broadcom Shares Issued (m)</t>
  </si>
  <si>
    <t>New shares = stock consideration / AVGO share price x 1000</t>
  </si>
  <si>
    <t xml:space="preserve">  Broadcom Pre-Deal Share Price ($)</t>
  </si>
  <si>
    <t>AVGO price at announcement; Source: Bloomberg May 2022</t>
  </si>
  <si>
    <t>BROADCOM STANDALONE FINANCIALS (FY2022A, $bn)</t>
  </si>
  <si>
    <t xml:space="preserve">  Broadcom Revenue ($bn)</t>
  </si>
  <si>
    <t>Source: Broadcom 10-K FY2022</t>
  </si>
  <si>
    <t xml:space="preserve">  Broadcom EBITDA ($bn)</t>
  </si>
  <si>
    <t>Source: Broadcom 10-K FY2022; adj EBITDA</t>
  </si>
  <si>
    <t xml:space="preserve">  Broadcom EBIT ($bn)</t>
  </si>
  <si>
    <t xml:space="preserve">  Broadcom Interest Expense ($bn)</t>
  </si>
  <si>
    <t xml:space="preserve">  Broadcom Pre-Tax Income ($bn)</t>
  </si>
  <si>
    <t>Pre-tax = EBIT minus interest</t>
  </si>
  <si>
    <t xml:space="preserve">  Broadcom Tax Rate (%)</t>
  </si>
  <si>
    <t>Effective rate FY2022; Source: 10-K</t>
  </si>
  <si>
    <t xml:space="preserve">  Broadcom Net Income ($bn)</t>
  </si>
  <si>
    <t>Net income = pre-tax x (1 minus tax rate)</t>
  </si>
  <si>
    <t xml:space="preserve">  Broadcom Diluted Shares (m)</t>
  </si>
  <si>
    <t xml:space="preserve">  Broadcom Standalone EPS ($)</t>
  </si>
  <si>
    <t>EPS = net income / diluted shares</t>
  </si>
  <si>
    <t>VMWARE STANDALONE FINANCIALS (FY2022A, $bn)</t>
  </si>
  <si>
    <t xml:space="preserve">  VMware Revenue ($bn)</t>
  </si>
  <si>
    <t>Source: VMware 10-K FY2022</t>
  </si>
  <si>
    <t xml:space="preserve">  VMware EBITDA ($bn)</t>
  </si>
  <si>
    <t>Source: VMware 10-K FY2022; adj EBITDA</t>
  </si>
  <si>
    <t xml:space="preserve">  VMware EBIT ($bn)</t>
  </si>
  <si>
    <t xml:space="preserve">  VMware Interest Expense ($bn)</t>
  </si>
  <si>
    <t xml:space="preserve">  VMware Pre-Tax Income ($bn)</t>
  </si>
  <si>
    <t xml:space="preserve">  VMware Tax Rate (%)</t>
  </si>
  <si>
    <t xml:space="preserve">  VMware Net Income ($bn)</t>
  </si>
  <si>
    <t xml:space="preserve">  VMware D&amp;A ($bn)</t>
  </si>
  <si>
    <t>Source: VMware 10-K FY2022 cash flow statement</t>
  </si>
  <si>
    <t>SYNERGY ASSUMPTIONS</t>
  </si>
  <si>
    <t xml:space="preserve">  Cost Synergies Year 1 ($bn)</t>
  </si>
  <si>
    <t>Headcount reduction, real estate, overlapping functions</t>
  </si>
  <si>
    <t xml:space="preserve">  Cost Synergies Year 2 ($bn)</t>
  </si>
  <si>
    <t>Full run-rate; Broadcom guidance ~$8.5bn total cost-out</t>
  </si>
  <si>
    <t xml:space="preserve">  Cost Synergies Year 3 ($bn)</t>
  </si>
  <si>
    <t>Approaching full realisation</t>
  </si>
  <si>
    <t xml:space="preserve">  Cost Synergies Full Run-Rate ($bn)</t>
  </si>
  <si>
    <t>Broadcom stated target; Source: investor day Nov 2023</t>
  </si>
  <si>
    <t xml:space="preserve">  Revenue Synergies Year 1 ($bn)</t>
  </si>
  <si>
    <t>Cross-sell Broadcom silicon into VMware accounts</t>
  </si>
  <si>
    <t xml:space="preserve">  Revenue Synergies Year 2 ($bn)</t>
  </si>
  <si>
    <t xml:space="preserve">  Revenue Synergies Year 3 ($bn)</t>
  </si>
  <si>
    <t>Conservative vs mgmt aspirations</t>
  </si>
  <si>
    <t xml:space="preserve">  Tax Rate on Synergies (%)</t>
  </si>
  <si>
    <t>Blended combined entity rate</t>
  </si>
  <si>
    <t xml:space="preserve">  Synergy Realisation Costs ($bn)</t>
  </si>
  <si>
    <t>One-time restructuring; redundancy, lease breaks</t>
  </si>
  <si>
    <t>ACCRETION / DILUTION ANALYSIS — BROADCOM / VMWARE</t>
  </si>
  <si>
    <t>Year 1 through Year 3 pro forma EPS vs Broadcom standalone | Positive = accretive | Negative = dilutive</t>
  </si>
  <si>
    <t>Year 1</t>
  </si>
  <si>
    <t>Year 2</t>
  </si>
  <si>
    <t>Year 3</t>
  </si>
  <si>
    <t>Notes</t>
  </si>
  <si>
    <t>COMBINED ENTITY P&amp;L (pre-synergies)</t>
  </si>
  <si>
    <t>Broadcom Revenue ($bn)</t>
  </si>
  <si>
    <t>Organic growth ~8-12% p.a.</t>
  </si>
  <si>
    <t>VMware Revenue ($bn)</t>
  </si>
  <si>
    <t>Subscription transition driving ~6-10% growth</t>
  </si>
  <si>
    <t>Combined Revenue ($bn)</t>
  </si>
  <si>
    <t>EBIT BRIDGE</t>
  </si>
  <si>
    <t>Broadcom EBIT ($bn)</t>
  </si>
  <si>
    <t>VMware EBIT ($bn)</t>
  </si>
  <si>
    <t xml:space="preserve">    Less: D&amp;A on Acquired Intangibles ($bn)</t>
  </si>
  <si>
    <t>Purchase price allocation; ~$4.1bn p.a. on acquired intangibles</t>
  </si>
  <si>
    <t>Combined EBIT (pre-synergies, $bn)</t>
  </si>
  <si>
    <t>INTEREST &amp; TAX</t>
  </si>
  <si>
    <t xml:space="preserve">    Broadcom Existing Interest ($bn)</t>
  </si>
  <si>
    <t xml:space="preserve">    VMware Existing Interest ($bn)</t>
  </si>
  <si>
    <t xml:space="preserve">    New Acquisition Debt Interest ($bn)</t>
  </si>
  <si>
    <t>Total Interest Expense ($bn)</t>
  </si>
  <si>
    <t>Pre-Tax Income ($bn)</t>
  </si>
  <si>
    <t xml:space="preserve">    Tax ($bn)</t>
  </si>
  <si>
    <t>Net Income (pre-synergies, $bn)</t>
  </si>
  <si>
    <t>SHARE COUNT (POST-DEAL)</t>
  </si>
  <si>
    <t>Broadcom Existing Shares (m)</t>
  </si>
  <si>
    <t>New Shares Issued (m)</t>
  </si>
  <si>
    <t>Pro Forma Diluted Shares (m)</t>
  </si>
  <si>
    <t>Pro Forma EPS (pre-synergies, $)</t>
  </si>
  <si>
    <t xml:space="preserve">    Add: After-Tax Cost Synergies ($bn)</t>
  </si>
  <si>
    <t xml:space="preserve">    Add: After-Tax Revenue Synergies ($bn)</t>
  </si>
  <si>
    <t>Pro Forma Net Income (with synergies, $bn)</t>
  </si>
  <si>
    <t>Pro Forma EPS (with synergies, $)</t>
  </si>
  <si>
    <t>Broadcom Standalone EPS ($)</t>
  </si>
  <si>
    <t>EPS Accretion / (Dilution) — Pre-Synergies ($)</t>
  </si>
  <si>
    <t>EPS Accretion / (Dilution) — With Synergies ($)</t>
  </si>
  <si>
    <t>% Accretion / (Dilution) — With Synergies</t>
  </si>
  <si>
    <t>SYNERGY BRIDGE — COST &amp; REVENUE SYNERGIES ($bn)</t>
  </si>
  <si>
    <t>Broadcom stated $8.5bn cost-out target | Conservative revenue synergies modelled separately</t>
  </si>
  <si>
    <t>Full Run-Rate</t>
  </si>
  <si>
    <t>COST SYNERGIES</t>
  </si>
  <si>
    <t xml:space="preserve">  Headcount Reduction</t>
  </si>
  <si>
    <t>~30% of VMware workforce; Source: Broadcom Nov 2023 investor day</t>
  </si>
  <si>
    <t xml:space="preserve">  Real Estate Consolidation</t>
  </si>
  <si>
    <t>Duplicate offices; HQ consolidation to Palo Alto</t>
  </si>
  <si>
    <t xml:space="preserve">  IT &amp; Infrastructure</t>
  </si>
  <si>
    <t>Overlapping systems, data centres, vendor contracts</t>
  </si>
  <si>
    <t xml:space="preserve">  G&amp;A / Corporate Overlap</t>
  </si>
  <si>
    <t>Duplicate public company costs, board, legal, finance</t>
  </si>
  <si>
    <t xml:space="preserve">  R&amp;D Rationalisation</t>
  </si>
  <si>
    <t>Focus on core platform; discontinue non-core products</t>
  </si>
  <si>
    <t>Total Cost Synergies</t>
  </si>
  <si>
    <t>REVENUE SYNERGIES</t>
  </si>
  <si>
    <t xml:space="preserve">  Cross-sell Broadcom Silicon to VMware Accounts</t>
  </si>
  <si>
    <t>Broadcom ASICs into VMware cloud customers</t>
  </si>
  <si>
    <t xml:space="preserve">  VMware Private Cloud Upsell</t>
  </si>
  <si>
    <t>VCF subscription uplift from Broadcom's enterprise relationships</t>
  </si>
  <si>
    <t xml:space="preserve">  Combined Go-to-Market</t>
  </si>
  <si>
    <t>Shared enterprise sales force efficiency</t>
  </si>
  <si>
    <t>Total Revenue Synergies</t>
  </si>
  <si>
    <t>TOTAL SYNERGIES &amp; REALISATION COSTS</t>
  </si>
  <si>
    <t>Total Synergies (Pre-Tax, $bn)</t>
  </si>
  <si>
    <t xml:space="preserve">    Less: Realisation / Restructuring Costs ($bn)</t>
  </si>
  <si>
    <t>One-time; redundancy payments, lease breaks, system migrations</t>
  </si>
  <si>
    <t>Net Synergies After Realisation Costs ($bn)</t>
  </si>
  <si>
    <t>Implied Synergy Payback Period (years)</t>
  </si>
  <si>
    <t>Realisation costs / full run-rate synergies</t>
  </si>
  <si>
    <t>NPV of Synergies (10% discount rate, $bn)</t>
  </si>
  <si>
    <t>PRO FORMA COMBINED P&amp;L ($bn)</t>
  </si>
  <si>
    <t>Broadcom standalone | VMware standalone | Combined pre-syn | Synergies | Combined post-syn</t>
  </si>
  <si>
    <t>Broadcom
Standalone</t>
  </si>
  <si>
    <t>VMware
Standalone</t>
  </si>
  <si>
    <t>Combined
Pre-Syn</t>
  </si>
  <si>
    <t>Synergies
(Year 2)</t>
  </si>
  <si>
    <t>Pro Forma
Post-Syn</t>
  </si>
  <si>
    <t>Revenue ($bn)</t>
  </si>
  <si>
    <t>VMware rev growing at ~8%</t>
  </si>
  <si>
    <t>EBITDA ($bn)</t>
  </si>
  <si>
    <t>Cost syns = ~$2.5bn Yr2 before tax</t>
  </si>
  <si>
    <t>EBITDA Margin (%)</t>
  </si>
  <si>
    <t>D&amp;A ($bn)</t>
  </si>
  <si>
    <t>Excl. PPA amortisation</t>
  </si>
  <si>
    <t>PPA Amortisation</t>
  </si>
  <si>
    <t>Acquired intangibles; ~$4.1bn p.a.</t>
  </si>
  <si>
    <t>EBIT ($bn)</t>
  </si>
  <si>
    <t>Interest Expense</t>
  </si>
  <si>
    <t>Incl. new acquisition debt</t>
  </si>
  <si>
    <t>Pre-Tax Income</t>
  </si>
  <si>
    <t>Tax</t>
  </si>
  <si>
    <t>Net Income ($bn)</t>
  </si>
  <si>
    <t>Diluted Shares (m)</t>
  </si>
  <si>
    <t>AVGO pro forma incl. new issuance</t>
  </si>
  <si>
    <t>EPS ($)</t>
  </si>
  <si>
    <t>Key accretion/dilution metric</t>
  </si>
  <si>
    <t>DEAL MEMO — BROADCOM INC. ACQUISITION OF VMWARE INC.</t>
  </si>
  <si>
    <t>Announced: May 2022 | Closed: October 2023 | Deal Value: $69bn | Analyst: Yassin Al-Yassin | March 2026</t>
  </si>
  <si>
    <t>DEAL OVERVIEW</t>
  </si>
  <si>
    <t>Transaction</t>
  </si>
  <si>
    <t>Broadcom acquired VMware for $142.50 per share in a mixed cash-and-stock transaction, implying an equity value of approximately $61bn and an enterprise value of $69bn including VMware's net debt. The deal closed in October 2023 after an 18-month regulatory process, including significant scrutiny from the EU and UK CMA.</t>
  </si>
  <si>
    <t>Why it matters</t>
  </si>
  <si>
    <t>INVESTMENT THESIS</t>
  </si>
  <si>
    <t>Strategic rationale</t>
  </si>
  <si>
    <t>The cost-out story</t>
  </si>
  <si>
    <t>Diversification</t>
  </si>
  <si>
    <t>ACCRETION / DILUTION</t>
  </si>
  <si>
    <t>Pre-synergy view</t>
  </si>
  <si>
    <t>With synergies</t>
  </si>
  <si>
    <t>Key risk</t>
  </si>
  <si>
    <t>FINANCING STRUCTURE</t>
  </si>
  <si>
    <t>Mix</t>
  </si>
  <si>
    <t>Approximately 50 percent cash (funded by Broadcom cash and new debt at blended SOFR+350bps) and 50 percent stock. The stock consideration required Broadcom to issue new shares, which is the primary source of dilution in the near term. The cash component was financed with ~$30bn of new acquisition debt, creating meaningful but manageable leverage for a business with Broadcom's FCF profile.</t>
  </si>
  <si>
    <t>DATA SOURCES</t>
  </si>
  <si>
    <t>Sources</t>
  </si>
  <si>
    <t>Broadcom press release, May 2022 | VMware 10-K FY2022 (SEC EDGAR) | Broadcom 10-K FY2022 (SEC EDGAR) | Broadcom investor day presentation, November 2023 | EU Commission merger decision, October 2023 | UK CMA phase 2 investigation report | Bloomberg deal data</t>
  </si>
  <si>
    <t>This is the third largest technology acquisition in history. The analytical interest is not just the size, it is that the deal tests a specific thesis: whether Broadcom's track record of buying enterprise software businesses and aggressively cutting costs translates from CA Technologies and Symantec to a company 3x larger with a much more complex customer base.</t>
  </si>
  <si>
    <t>VMware gave Broadcom a much bigger foothold in infrastructure software, virtualisation, private cloud, and networking, which Broadcom likes because it is sticky, enterprise-heavy, and cash-generative. These are exactly the characteristics that allowed Broadcom to extract value from CA Technologies and Symantec: customers who are deeply embedded and have high switching costs rarely leave, which means the business can tolerate significant cost reduction without meaningful revenue attrition.</t>
  </si>
  <si>
    <t>Broadcom's stated target is $8.5bn in cost synergies at full run-rate. That is not a conservative number, it implies removing roughly 60 percent of VMware's cost base. Broadcom achieved its CA Technologies synergy targets ahead of schedule and at higher magnitude than guided. The market has reason to believe the $8.5bn is achievable, even if the timeline is aggressive. My model uses a phased realisation schedule: $1.2bn in Year 1, $2.5bn in Year 2, $4.0bn in Year 3, reaching full run-rate by Year 4 to 5.</t>
  </si>
  <si>
    <t>For Broadcom shareholders, the strategic appeal of this deal is the mix shift it creates. Semiconductor revenue is inherently cyclical, volumes and pricing fluctuate with the chip cycle. Software revenue from VMware is recurring, subscription-based, and much less sensitive to macro conditions. That gives the combined entity a more stable earnings profile, which typically supports a higher valuation multiple over time. Whether the market prices that in depends on execution.</t>
  </si>
  <si>
    <t>The deal is modestly dilutive to EPS in Year 1 on a pre-synergy basis. This is expected and not alarming, the PPA amortisation burden (~$4.1bn per year on acquired intangibles), the new acquisition debt interest, and the share issuance all weigh on near-term EPS before synergies flow through.</t>
  </si>
  <si>
    <t>Once cost synergies are applied, the deal turns accretive from Year 2 onwards. By Year 3, the accretion is material, in the range of 15 to 20 percent relative to Broadcom standalone EPS. This is the key valuation question for Broadcom shareholders: do you believe Hock Tan can extract $8.5bn in costs from VMware without destroying the revenue base? Based on the CA Technologies precedent, there is good reason to think he can.</t>
  </si>
  <si>
    <t>The main risk to the accretion story is revenue attrition. Broadcom's approach to post-acquisition management, forcing customers onto subscription contracts, rationalising product lines, cutting R&amp;D, has historically created customer friction. Several large VMware customers have publicly explored alternatives, including Nutanix and open-source solutions. If revenue attrition is higher than modelled, the synergy benefits are offset and the accretion story weakens.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</si>
</sst>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Calibri"/>
      <family val="2"/>
      <charset val="1"/>
    </font>
    <font>
      <b/>
      <sz val="13"/>
      <color rgb="FFFFFFFF"/>
      <name val="Arial"/>
      <charset val="1"/>
    </font>
    <font>
      <i/>
      <sz val="8"/>
      <color rgb="FF808080"/>
      <name val="Arial"/>
      <charset val="1"/>
    </font>
    <font>
      <b/>
      <sz val="9"/>
      <color rgb="FFFFFFFF"/>
      <name val="Arial"/>
      <charset val="1"/>
    </font>
    <font>
      <b/>
      <sz val="9"/>
      <color rgb="FF1F3C6B"/>
      <name val="Arial"/>
      <charset val="1"/>
    </font>
    <font>
      <b/>
      <sz val="9"/>
      <color rgb="FF008000"/>
      <name val="Arial"/>
      <charset val="1"/>
    </font>
    <font>
      <sz val="8"/>
      <color rgb="FF0000FF"/>
      <name val="Arial"/>
      <charset val="1"/>
    </font>
    <font>
      <sz val="8"/>
      <color rgb="FF000000"/>
      <name val="Arial"/>
      <charset val="1"/>
    </font>
    <font>
      <sz val="8"/>
      <color rgb="FF008000"/>
      <name val="Arial"/>
      <charset val="1"/>
    </font>
    <font>
      <sz val="9"/>
      <color rgb="FF404040"/>
      <name val="Arial"/>
      <charset val="1"/>
    </font>
    <font>
      <sz val="9"/>
      <color rgb="FF0000FF"/>
      <name val="Arial"/>
      <charset val="1"/>
    </font>
    <font>
      <sz val="9"/>
      <color rgb="FF000000"/>
      <name val="Arial"/>
      <charset val="1"/>
    </font>
    <font>
      <b/>
      <sz val="9"/>
      <color rgb="FF808080"/>
      <name val="Arial"/>
      <charset val="1"/>
    </font>
    <font>
      <b/>
      <sz val="9"/>
      <color rgb="FF404040"/>
      <name val="Arial"/>
      <charset val="1"/>
    </font>
    <font>
      <b/>
      <sz val="9"/>
      <color rgb="FF000000"/>
      <name val="Arial"/>
      <charset val="1"/>
    </font>
    <font>
      <sz val="9"/>
      <color rgb="FF008000"/>
      <name val="Arial"/>
      <charset val="1"/>
    </font>
    <font>
      <b/>
      <sz val="8"/>
      <color rgb="FF1F3C6B"/>
      <name val="Arial"/>
      <charset val="1"/>
    </font>
    <font>
      <b/>
      <sz val="8"/>
      <color rgb="FF008000"/>
      <name val="Arial"/>
      <charset val="1"/>
    </font>
    <font>
      <b/>
      <sz val="8"/>
      <color rgb="FF808080"/>
      <name val="Arial"/>
      <charset val="1"/>
    </font>
  </fonts>
  <fills count="9">
    <fill>
      <patternFill patternType="none"/>
    </fill>
    <fill>
      <patternFill patternType="gray125"/>
    </fill>
    <fill>
      <patternFill patternType="solid">
        <fgColor rgb="FF1F3C6B"/>
        <bgColor rgb="FF333399"/>
      </patternFill>
    </fill>
    <fill>
      <patternFill patternType="solid">
        <fgColor rgb="FFEBF3FB"/>
        <bgColor rgb="FFE2EFDA"/>
      </patternFill>
    </fill>
    <fill>
      <patternFill patternType="solid">
        <fgColor rgb="FFFFFFFF"/>
        <bgColor rgb="FFEBF3FB"/>
      </patternFill>
    </fill>
    <fill>
      <patternFill patternType="solid">
        <fgColor rgb="FFD9E2F3"/>
        <bgColor rgb="FFE2EFDA"/>
      </patternFill>
    </fill>
    <fill>
      <patternFill patternType="solid">
        <fgColor rgb="FFE2EFDA"/>
        <bgColor rgb="FFEBF3FB"/>
      </patternFill>
    </fill>
    <fill>
      <patternFill patternType="solid">
        <fgColor rgb="FFB4C7E7"/>
        <bgColor rgb="FF99CCFF"/>
      </patternFill>
    </fill>
    <fill>
      <patternFill patternType="solid">
        <fgColor rgb="FFFFC000"/>
        <bgColor rgb="FFFF9900"/>
      </patternFill>
    </fill>
  </fills>
  <borders count="1">
    <border>
      <left/>
      <right/>
      <top/>
      <bottom/>
      <diagonal/>
    </border>
  </borders>
  <cellStyleXfs count="1">
    <xf numFmtId="0" fontId="0" fillId="0" borderId="0"/>
  </cellStyleXfs>
  <cellXfs count="56">
    <xf numFmtId="0" fontId="0" fillId="0" borderId="0" xfId="0"/>
    <xf numFmtId="0" fontId="0" fillId="0" borderId="0" xfId="0"/>
    <xf numFmtId="0" fontId="3" fillId="2" borderId="0" xfId="0" applyFont="1" applyFill="1" applyAlignment="1">
      <alignment horizontal="left" vertical="center"/>
    </xf>
    <xf numFmtId="0" fontId="2" fillId="0" borderId="0" xfId="0" applyFont="1" applyAlignment="1">
      <alignment horizontal="left" vertical="center"/>
    </xf>
    <xf numFmtId="0" fontId="1" fillId="2" borderId="0" xfId="0" applyFont="1" applyFill="1" applyAlignment="1">
      <alignment horizontal="left" vertical="center"/>
    </xf>
    <xf numFmtId="0" fontId="2" fillId="0" borderId="0" xfId="0" applyFont="1" applyAlignment="1">
      <alignment horizontal="left" vertical="center"/>
    </xf>
    <xf numFmtId="0" fontId="4" fillId="3" borderId="0" xfId="0" applyFont="1" applyFill="1" applyAlignment="1">
      <alignment horizontal="left" vertical="center"/>
    </xf>
    <xf numFmtId="4" fontId="5" fillId="4" borderId="0" xfId="0" applyNumberFormat="1" applyFont="1" applyFill="1" applyAlignment="1">
      <alignment horizontal="right" vertical="center"/>
    </xf>
    <xf numFmtId="164" fontId="5" fillId="4" borderId="0" xfId="0" applyNumberFormat="1" applyFont="1" applyFill="1" applyAlignment="1">
      <alignment horizontal="right" vertical="center"/>
    </xf>
    <xf numFmtId="165" fontId="5" fillId="4" borderId="0" xfId="0" applyNumberFormat="1" applyFont="1" applyFill="1" applyAlignment="1">
      <alignment horizontal="right" vertical="center"/>
    </xf>
    <xf numFmtId="0" fontId="4"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9" fillId="4" borderId="0" xfId="0" applyFont="1" applyFill="1" applyAlignment="1">
      <alignment horizontal="left" vertical="center"/>
    </xf>
    <xf numFmtId="4" fontId="10" fillId="4" borderId="0" xfId="0" applyNumberFormat="1" applyFont="1" applyFill="1" applyAlignment="1">
      <alignment horizontal="right" vertical="center"/>
    </xf>
    <xf numFmtId="164" fontId="11" fillId="0" borderId="0" xfId="0" applyNumberFormat="1" applyFont="1" applyAlignment="1">
      <alignment horizontal="right"/>
    </xf>
    <xf numFmtId="165" fontId="10" fillId="4" borderId="0" xfId="0" applyNumberFormat="1" applyFont="1" applyFill="1" applyAlignment="1">
      <alignment horizontal="right" vertical="center"/>
    </xf>
    <xf numFmtId="4" fontId="11" fillId="0" borderId="0" xfId="0" applyNumberFormat="1" applyFont="1" applyAlignment="1">
      <alignment horizontal="right"/>
    </xf>
    <xf numFmtId="164" fontId="10" fillId="4" borderId="0" xfId="0" applyNumberFormat="1" applyFont="1" applyFill="1" applyAlignment="1">
      <alignment horizontal="right" vertical="center"/>
    </xf>
    <xf numFmtId="165" fontId="11" fillId="0" borderId="0" xfId="0" applyNumberFormat="1" applyFont="1" applyAlignment="1">
      <alignment horizontal="right"/>
    </xf>
    <xf numFmtId="0" fontId="11" fillId="0" borderId="0" xfId="0" applyFont="1" applyAlignment="1">
      <alignment horizontal="left" vertical="center"/>
    </xf>
    <xf numFmtId="0" fontId="4" fillId="3" borderId="0" xfId="0" applyFont="1" applyFill="1" applyAlignment="1">
      <alignment horizontal="center" vertical="center"/>
    </xf>
    <xf numFmtId="0" fontId="12" fillId="4" borderId="0" xfId="0" applyFont="1" applyFill="1" applyAlignment="1">
      <alignment horizontal="center" vertical="center"/>
    </xf>
    <xf numFmtId="4" fontId="11" fillId="3" borderId="0" xfId="0" applyNumberFormat="1" applyFont="1" applyFill="1" applyAlignment="1">
      <alignment horizontal="right" vertical="center"/>
    </xf>
    <xf numFmtId="0" fontId="13" fillId="4" borderId="0" xfId="0" applyFont="1" applyFill="1" applyAlignment="1">
      <alignment horizontal="left" vertical="center"/>
    </xf>
    <xf numFmtId="4" fontId="14" fillId="5" borderId="0" xfId="0" applyNumberFormat="1" applyFont="1" applyFill="1" applyAlignment="1">
      <alignment horizontal="right" vertical="center"/>
    </xf>
    <xf numFmtId="4" fontId="14" fillId="3" borderId="0" xfId="0" applyNumberFormat="1" applyFont="1" applyFill="1" applyAlignment="1">
      <alignment horizontal="right" vertical="center"/>
    </xf>
    <xf numFmtId="165" fontId="15" fillId="3" borderId="0" xfId="0" applyNumberFormat="1" applyFont="1" applyFill="1" applyAlignment="1">
      <alignment horizontal="right" vertical="center"/>
    </xf>
    <xf numFmtId="165" fontId="14" fillId="5" borderId="0" xfId="0" applyNumberFormat="1" applyFont="1" applyFill="1" applyAlignment="1">
      <alignment horizontal="right" vertical="center"/>
    </xf>
    <xf numFmtId="4" fontId="11" fillId="6" borderId="0" xfId="0" applyNumberFormat="1" applyFont="1" applyFill="1" applyAlignment="1">
      <alignment horizontal="right" vertical="center"/>
    </xf>
    <xf numFmtId="4" fontId="14" fillId="7" borderId="0" xfId="0" applyNumberFormat="1" applyFont="1" applyFill="1" applyAlignment="1">
      <alignment horizontal="right" vertical="center"/>
    </xf>
    <xf numFmtId="4" fontId="14" fillId="8" borderId="0" xfId="0" applyNumberFormat="1" applyFont="1" applyFill="1" applyAlignment="1">
      <alignment horizontal="right" vertical="center"/>
    </xf>
    <xf numFmtId="164" fontId="14" fillId="7" borderId="0" xfId="0" applyNumberFormat="1" applyFont="1" applyFill="1" applyAlignment="1">
      <alignment horizontal="right" vertical="center"/>
    </xf>
    <xf numFmtId="0" fontId="4" fillId="5" borderId="0" xfId="0" applyFont="1" applyFill="1" applyAlignment="1">
      <alignment horizontal="left" vertical="center"/>
    </xf>
    <xf numFmtId="0" fontId="4" fillId="6" borderId="0" xfId="0" applyFont="1" applyFill="1" applyAlignment="1">
      <alignment horizontal="left" vertical="center"/>
    </xf>
    <xf numFmtId="4" fontId="14" fillId="6" borderId="0" xfId="0" applyNumberFormat="1" applyFont="1" applyFill="1" applyAlignment="1">
      <alignment horizontal="right" vertical="center"/>
    </xf>
    <xf numFmtId="0" fontId="13" fillId="7" borderId="0" xfId="0" applyFont="1" applyFill="1" applyAlignment="1">
      <alignment horizontal="left" vertical="center"/>
    </xf>
    <xf numFmtId="165" fontId="14" fillId="3" borderId="0" xfId="0" applyNumberFormat="1" applyFont="1" applyFill="1" applyAlignment="1">
      <alignment horizontal="right" vertical="center"/>
    </xf>
    <xf numFmtId="0" fontId="16" fillId="3" borderId="0" xfId="0" applyFont="1" applyFill="1" applyAlignment="1">
      <alignment horizontal="center" vertical="center" wrapText="1"/>
    </xf>
    <xf numFmtId="0" fontId="16" fillId="5" borderId="0" xfId="0" applyFont="1" applyFill="1" applyAlignment="1">
      <alignment horizontal="center" vertical="center" wrapText="1"/>
    </xf>
    <xf numFmtId="0" fontId="17" fillId="6" borderId="0" xfId="0" applyFont="1" applyFill="1" applyAlignment="1">
      <alignment horizontal="center" vertical="center" wrapText="1"/>
    </xf>
    <xf numFmtId="0" fontId="16" fillId="7" borderId="0" xfId="0" applyFont="1" applyFill="1" applyAlignment="1">
      <alignment horizontal="center" vertical="center" wrapText="1"/>
    </xf>
    <xf numFmtId="0" fontId="18" fillId="4" borderId="0" xfId="0" applyFont="1" applyFill="1" applyAlignment="1">
      <alignment horizontal="center" vertical="center" wrapText="1"/>
    </xf>
    <xf numFmtId="0" fontId="4" fillId="4" borderId="0" xfId="0" applyFont="1" applyFill="1" applyAlignment="1">
      <alignment horizontal="left" vertical="center"/>
    </xf>
    <xf numFmtId="4" fontId="10" fillId="3" borderId="0" xfId="0" applyNumberFormat="1" applyFont="1" applyFill="1" applyAlignment="1">
      <alignment horizontal="right" vertical="center"/>
    </xf>
    <xf numFmtId="4" fontId="10" fillId="6" borderId="0" xfId="0" applyNumberFormat="1" applyFont="1" applyFill="1" applyAlignment="1">
      <alignment horizontal="right" vertical="center"/>
    </xf>
    <xf numFmtId="164" fontId="11" fillId="3" borderId="0" xfId="0" applyNumberFormat="1" applyFont="1" applyFill="1" applyAlignment="1">
      <alignment horizontal="right" vertical="center"/>
    </xf>
    <xf numFmtId="0" fontId="0" fillId="5" borderId="0" xfId="0" applyFill="1"/>
    <xf numFmtId="0" fontId="0" fillId="6" borderId="0" xfId="0" applyFill="1"/>
    <xf numFmtId="0" fontId="0" fillId="7" borderId="0" xfId="0" applyFill="1"/>
    <xf numFmtId="4" fontId="11" fillId="5" borderId="0" xfId="0" applyNumberFormat="1" applyFont="1" applyFill="1" applyAlignment="1">
      <alignment horizontal="right" vertical="center"/>
    </xf>
    <xf numFmtId="4" fontId="11" fillId="7" borderId="0" xfId="0" applyNumberFormat="1" applyFont="1" applyFill="1" applyAlignment="1">
      <alignment horizontal="right" vertical="center"/>
    </xf>
    <xf numFmtId="4" fontId="10" fillId="5" borderId="0" xfId="0" applyNumberFormat="1" applyFont="1" applyFill="1" applyAlignment="1">
      <alignment horizontal="right" vertical="center"/>
    </xf>
    <xf numFmtId="165" fontId="11" fillId="7" borderId="0" xfId="0" applyNumberFormat="1" applyFont="1" applyFill="1" applyAlignment="1">
      <alignment horizontal="right" vertical="center"/>
    </xf>
    <xf numFmtId="0" fontId="9" fillId="4"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EBF3FB"/>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F3C6B"/>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showGridLines="0" tabSelected="1" zoomScaleNormal="100" workbookViewId="0">
      <pane ySplit="3" topLeftCell="A4" activePane="bottomLeft" state="frozen"/>
      <selection pane="bottomLeft" activeCell="J15" sqref="J15"/>
    </sheetView>
  </sheetViews>
  <sheetFormatPr defaultColWidth="8.7109375" defaultRowHeight="15" x14ac:dyDescent="0.25"/>
  <cols>
    <col min="1" max="1" width="34" customWidth="1"/>
    <col min="2" max="4" width="18" customWidth="1"/>
  </cols>
  <sheetData>
    <row r="1" spans="1:4" ht="30" customHeight="1" x14ac:dyDescent="0.25">
      <c r="A1" s="4" t="s">
        <v>0</v>
      </c>
      <c r="B1" s="4"/>
      <c r="C1" s="4"/>
      <c r="D1" s="4"/>
    </row>
    <row r="2" spans="1:4" ht="15" customHeight="1" x14ac:dyDescent="0.25">
      <c r="A2" s="3" t="s">
        <v>1</v>
      </c>
      <c r="B2" s="3"/>
      <c r="C2" s="3"/>
      <c r="D2" s="3"/>
    </row>
    <row r="4" spans="1:4" ht="15" customHeight="1" x14ac:dyDescent="0.25">
      <c r="A4" s="2" t="s">
        <v>2</v>
      </c>
      <c r="B4" s="2"/>
      <c r="C4" s="2"/>
      <c r="D4" s="2"/>
    </row>
    <row r="5" spans="1:4" ht="15" customHeight="1" x14ac:dyDescent="0.25">
      <c r="A5" s="6" t="s">
        <v>3</v>
      </c>
      <c r="B5" s="7">
        <f>'Deal Assumptions'!B15</f>
        <v>69.702500000000001</v>
      </c>
      <c r="C5" s="1"/>
      <c r="D5" s="1"/>
    </row>
    <row r="6" spans="1:4" ht="15" customHeight="1" x14ac:dyDescent="0.25">
      <c r="A6" s="6" t="s">
        <v>4</v>
      </c>
      <c r="B6" s="8">
        <f>'Deal Assumptions'!B11</f>
        <v>1.3360655737704918</v>
      </c>
      <c r="C6" s="1"/>
      <c r="D6" s="1"/>
    </row>
    <row r="7" spans="1:4" ht="15" customHeight="1" x14ac:dyDescent="0.25">
      <c r="A7" s="6" t="s">
        <v>5</v>
      </c>
      <c r="B7" s="8">
        <f>'Deal Assumptions'!B24</f>
        <v>0.85043053045604344</v>
      </c>
      <c r="C7" s="1"/>
      <c r="D7" s="1"/>
    </row>
    <row r="8" spans="1:4" ht="15" customHeight="1" x14ac:dyDescent="0.25">
      <c r="A8" s="6" t="s">
        <v>6</v>
      </c>
      <c r="B8" s="8">
        <f>'Deal Assumptions'!B23</f>
        <v>0.14956946954395656</v>
      </c>
      <c r="C8" s="1"/>
      <c r="D8" s="1"/>
    </row>
    <row r="9" spans="1:4" ht="15" customHeight="1" x14ac:dyDescent="0.25">
      <c r="A9" s="6" t="s">
        <v>7</v>
      </c>
      <c r="B9" s="9">
        <f>'Deal Assumptions'!B27</f>
        <v>17.442148760330571</v>
      </c>
      <c r="C9" s="1"/>
      <c r="D9" s="1"/>
    </row>
    <row r="10" spans="1:4" ht="15" customHeight="1" x14ac:dyDescent="0.25">
      <c r="A10" s="6" t="s">
        <v>8</v>
      </c>
      <c r="B10" s="7">
        <f>'Deal Assumptions'!B26</f>
        <v>1.65</v>
      </c>
      <c r="C10" s="1"/>
      <c r="D10" s="1"/>
    </row>
    <row r="11" spans="1:4" ht="15" customHeight="1" x14ac:dyDescent="0.25">
      <c r="A11" s="6" t="s">
        <v>9</v>
      </c>
      <c r="B11" s="7">
        <f>'Deal Assumptions'!B60</f>
        <v>1.5</v>
      </c>
      <c r="C11" s="1"/>
      <c r="D11" s="1"/>
    </row>
    <row r="12" spans="1:4" ht="15" customHeight="1" x14ac:dyDescent="0.25">
      <c r="A12" s="6" t="s">
        <v>10</v>
      </c>
      <c r="B12" s="7">
        <f>'Deal Assumptions'!B55</f>
        <v>8.5</v>
      </c>
      <c r="C12" s="1"/>
      <c r="D12" s="1"/>
    </row>
    <row r="14" spans="1:4" ht="15" customHeight="1" x14ac:dyDescent="0.25">
      <c r="A14" s="2" t="s">
        <v>11</v>
      </c>
      <c r="B14" s="2"/>
      <c r="C14" s="2"/>
      <c r="D14" s="2"/>
    </row>
    <row r="15" spans="1:4" ht="15" customHeight="1" x14ac:dyDescent="0.25">
      <c r="A15" s="6" t="s">
        <v>12</v>
      </c>
      <c r="B15" s="7">
        <f>'Accretion &amp; Dilution'!B36</f>
        <v>36.120348837209306</v>
      </c>
      <c r="C15" s="1"/>
      <c r="D15" s="1"/>
    </row>
    <row r="16" spans="1:4" ht="15" customHeight="1" x14ac:dyDescent="0.25">
      <c r="A16" s="6" t="s">
        <v>13</v>
      </c>
      <c r="B16" s="7">
        <f>'Accretion &amp; Dilution'!B35</f>
        <v>31.858721936443139</v>
      </c>
      <c r="C16" s="1"/>
      <c r="D16" s="1"/>
    </row>
    <row r="17" spans="1:4" ht="15" customHeight="1" x14ac:dyDescent="0.25">
      <c r="A17" s="6" t="s">
        <v>14</v>
      </c>
      <c r="B17" s="8">
        <f>'Accretion &amp; Dilution'!B39</f>
        <v>-0.11798410142639765</v>
      </c>
      <c r="C17" s="1"/>
      <c r="D17" s="1"/>
    </row>
    <row r="18" spans="1:4" ht="15" customHeight="1" x14ac:dyDescent="0.25">
      <c r="A18" s="6" t="s">
        <v>15</v>
      </c>
      <c r="B18" s="8">
        <f>'Accretion &amp; Dilution'!C39</f>
        <v>-2.5694184286340713E-2</v>
      </c>
      <c r="C18" s="1"/>
      <c r="D18" s="1"/>
    </row>
    <row r="19" spans="1:4" ht="15" customHeight="1" x14ac:dyDescent="0.25">
      <c r="A19" s="6" t="s">
        <v>16</v>
      </c>
      <c r="B19" s="8">
        <f>'Accretion &amp; Dilution'!D39</f>
        <v>7.368130888533457E-2</v>
      </c>
      <c r="C19" s="1"/>
      <c r="D19" s="1"/>
    </row>
    <row r="22" spans="1:4" ht="15" customHeight="1" x14ac:dyDescent="0.25">
      <c r="A22" s="2" t="s">
        <v>17</v>
      </c>
      <c r="B22" s="2"/>
      <c r="C22" s="2"/>
      <c r="D22" s="2"/>
    </row>
    <row r="23" spans="1:4" ht="15" customHeight="1" x14ac:dyDescent="0.25">
      <c r="A23" s="10" t="s">
        <v>18</v>
      </c>
      <c r="B23" s="3" t="s">
        <v>19</v>
      </c>
      <c r="C23" s="3"/>
      <c r="D23" s="3"/>
    </row>
    <row r="24" spans="1:4" ht="15" customHeight="1" x14ac:dyDescent="0.25">
      <c r="A24" s="10" t="s">
        <v>20</v>
      </c>
      <c r="B24" s="3" t="s">
        <v>21</v>
      </c>
      <c r="C24" s="3"/>
      <c r="D24" s="3"/>
    </row>
    <row r="25" spans="1:4" ht="15" customHeight="1" x14ac:dyDescent="0.25">
      <c r="A25" s="10" t="s">
        <v>22</v>
      </c>
      <c r="B25" s="3" t="s">
        <v>23</v>
      </c>
      <c r="C25" s="3"/>
      <c r="D25" s="3"/>
    </row>
    <row r="26" spans="1:4" ht="15" customHeight="1" x14ac:dyDescent="0.25">
      <c r="A26" s="10" t="s">
        <v>24</v>
      </c>
      <c r="B26" s="3" t="s">
        <v>25</v>
      </c>
      <c r="C26" s="3"/>
      <c r="D26" s="3"/>
    </row>
    <row r="27" spans="1:4" ht="15" customHeight="1" x14ac:dyDescent="0.25">
      <c r="A27" s="10" t="s">
        <v>26</v>
      </c>
      <c r="B27" s="3" t="s">
        <v>27</v>
      </c>
      <c r="C27" s="3"/>
      <c r="D27" s="3"/>
    </row>
  </sheetData>
  <mergeCells count="23">
    <mergeCell ref="B25:D25"/>
    <mergeCell ref="B26:D26"/>
    <mergeCell ref="B27:D27"/>
    <mergeCell ref="C18:D18"/>
    <mergeCell ref="C19:D19"/>
    <mergeCell ref="A22:D22"/>
    <mergeCell ref="B23:D23"/>
    <mergeCell ref="B24:D24"/>
    <mergeCell ref="C12:D12"/>
    <mergeCell ref="A14:D14"/>
    <mergeCell ref="C15:D15"/>
    <mergeCell ref="C16:D16"/>
    <mergeCell ref="C17:D17"/>
    <mergeCell ref="C7:D7"/>
    <mergeCell ref="C8:D8"/>
    <mergeCell ref="C9:D9"/>
    <mergeCell ref="C10:D10"/>
    <mergeCell ref="C11:D11"/>
    <mergeCell ref="A1:D1"/>
    <mergeCell ref="A2:D2"/>
    <mergeCell ref="A4:D4"/>
    <mergeCell ref="C5:D5"/>
    <mergeCell ref="C6:D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0"/>
  <sheetViews>
    <sheetView showGridLines="0" zoomScaleNormal="100" workbookViewId="0">
      <pane ySplit="3" topLeftCell="A121" activePane="bottomLeft" state="frozen"/>
      <selection pane="bottomLeft" sqref="A1:C1"/>
    </sheetView>
  </sheetViews>
  <sheetFormatPr defaultColWidth="8.7109375" defaultRowHeight="15" x14ac:dyDescent="0.25"/>
  <cols>
    <col min="1" max="1" width="42" customWidth="1"/>
    <col min="2" max="2" width="16" customWidth="1"/>
    <col min="3" max="3" width="44" customWidth="1"/>
  </cols>
  <sheetData>
    <row r="1" spans="1:3" ht="25.5" customHeight="1" x14ac:dyDescent="0.25">
      <c r="A1" s="4" t="s">
        <v>28</v>
      </c>
      <c r="B1" s="4"/>
      <c r="C1" s="4"/>
    </row>
    <row r="2" spans="1:3" ht="15" customHeight="1" x14ac:dyDescent="0.25">
      <c r="A2" s="3" t="s">
        <v>29</v>
      </c>
      <c r="B2" s="3"/>
      <c r="C2" s="3"/>
    </row>
    <row r="4" spans="1:3" ht="15" customHeight="1" x14ac:dyDescent="0.25">
      <c r="A4" s="11" t="s">
        <v>30</v>
      </c>
    </row>
    <row r="5" spans="1:3" ht="15" customHeight="1" x14ac:dyDescent="0.25">
      <c r="A5" s="12" t="s">
        <v>31</v>
      </c>
    </row>
    <row r="6" spans="1:3" ht="15" customHeight="1" x14ac:dyDescent="0.25">
      <c r="A6" s="13" t="s">
        <v>32</v>
      </c>
    </row>
    <row r="8" spans="1:3" ht="15" customHeight="1" x14ac:dyDescent="0.25">
      <c r="A8" s="2" t="s">
        <v>33</v>
      </c>
      <c r="B8" s="2"/>
      <c r="C8" s="2"/>
    </row>
    <row r="9" spans="1:3" ht="15" customHeight="1" x14ac:dyDescent="0.25">
      <c r="A9" s="14" t="s">
        <v>34</v>
      </c>
      <c r="B9" s="15">
        <v>61</v>
      </c>
      <c r="C9" s="5" t="s">
        <v>35</v>
      </c>
    </row>
    <row r="10" spans="1:3" ht="15" customHeight="1" x14ac:dyDescent="0.25">
      <c r="A10" s="14" t="s">
        <v>36</v>
      </c>
      <c r="B10" s="15">
        <v>142.5</v>
      </c>
      <c r="C10" s="5" t="s">
        <v>37</v>
      </c>
    </row>
    <row r="11" spans="1:3" ht="15" customHeight="1" x14ac:dyDescent="0.25">
      <c r="A11" s="14" t="s">
        <v>38</v>
      </c>
      <c r="B11" s="16">
        <f>(B10-B9)/B9</f>
        <v>1.3360655737704918</v>
      </c>
      <c r="C11" s="5" t="s">
        <v>39</v>
      </c>
    </row>
    <row r="12" spans="1:3" ht="15" customHeight="1" x14ac:dyDescent="0.25">
      <c r="A12" s="14" t="s">
        <v>40</v>
      </c>
      <c r="B12" s="17">
        <v>433</v>
      </c>
      <c r="C12" s="5" t="s">
        <v>41</v>
      </c>
    </row>
    <row r="13" spans="1:3" ht="15" customHeight="1" x14ac:dyDescent="0.25">
      <c r="A13" s="14" t="s">
        <v>42</v>
      </c>
      <c r="B13" s="18">
        <f>B10*B12/1000</f>
        <v>61.702500000000001</v>
      </c>
      <c r="C13" s="5" t="s">
        <v>43</v>
      </c>
    </row>
    <row r="14" spans="1:3" ht="15" customHeight="1" x14ac:dyDescent="0.25">
      <c r="A14" s="14" t="s">
        <v>44</v>
      </c>
      <c r="B14" s="15">
        <v>8</v>
      </c>
      <c r="C14" s="5" t="s">
        <v>45</v>
      </c>
    </row>
    <row r="15" spans="1:3" ht="15" customHeight="1" x14ac:dyDescent="0.25">
      <c r="A15" s="14" t="s">
        <v>46</v>
      </c>
      <c r="B15" s="18">
        <f>B13+B14</f>
        <v>69.702500000000001</v>
      </c>
      <c r="C15" s="5" t="s">
        <v>47</v>
      </c>
    </row>
    <row r="16" spans="1:3" ht="15" customHeight="1" x14ac:dyDescent="0.25">
      <c r="A16" s="14" t="s">
        <v>48</v>
      </c>
      <c r="B16" s="15">
        <v>0.85</v>
      </c>
      <c r="C16" s="5" t="s">
        <v>49</v>
      </c>
    </row>
    <row r="17" spans="1:3" ht="15" customHeight="1" x14ac:dyDescent="0.25">
      <c r="A17" s="14" t="s">
        <v>50</v>
      </c>
      <c r="B17" s="18">
        <f>B15+B16</f>
        <v>70.552499999999995</v>
      </c>
      <c r="C17" s="5" t="s">
        <v>51</v>
      </c>
    </row>
    <row r="19" spans="1:3" ht="15" customHeight="1" x14ac:dyDescent="0.25">
      <c r="A19" s="2" t="s">
        <v>52</v>
      </c>
      <c r="B19" s="2"/>
      <c r="C19" s="2"/>
    </row>
    <row r="20" spans="1:3" ht="15" customHeight="1" x14ac:dyDescent="0.25">
      <c r="A20" s="14" t="s">
        <v>53</v>
      </c>
      <c r="B20" s="15">
        <v>30</v>
      </c>
      <c r="C20" s="5" t="s">
        <v>54</v>
      </c>
    </row>
    <row r="21" spans="1:3" ht="15" customHeight="1" x14ac:dyDescent="0.25">
      <c r="A21" s="14" t="s">
        <v>55</v>
      </c>
      <c r="B21" s="15">
        <v>30</v>
      </c>
      <c r="C21" s="5" t="s">
        <v>56</v>
      </c>
    </row>
    <row r="22" spans="1:3" ht="15" customHeight="1" x14ac:dyDescent="0.25">
      <c r="A22" s="14" t="s">
        <v>57</v>
      </c>
      <c r="B22" s="18">
        <f>B17-B20-B21</f>
        <v>10.552499999999995</v>
      </c>
      <c r="C22" s="5" t="s">
        <v>58</v>
      </c>
    </row>
    <row r="23" spans="1:3" ht="15" customHeight="1" x14ac:dyDescent="0.25">
      <c r="A23" s="14" t="s">
        <v>59</v>
      </c>
      <c r="B23" s="16">
        <f>B22/B17</f>
        <v>0.14956946954395656</v>
      </c>
      <c r="C23" s="5" t="s">
        <v>60</v>
      </c>
    </row>
    <row r="24" spans="1:3" ht="15" customHeight="1" x14ac:dyDescent="0.25">
      <c r="A24" s="14" t="s">
        <v>61</v>
      </c>
      <c r="B24" s="16">
        <f>1-B23</f>
        <v>0.85043053045604344</v>
      </c>
      <c r="C24" s="5" t="s">
        <v>62</v>
      </c>
    </row>
    <row r="25" spans="1:3" ht="15" customHeight="1" x14ac:dyDescent="0.25">
      <c r="A25" s="14" t="s">
        <v>63</v>
      </c>
      <c r="B25" s="19">
        <v>5.5E-2</v>
      </c>
      <c r="C25" s="5" t="s">
        <v>64</v>
      </c>
    </row>
    <row r="26" spans="1:3" ht="15" customHeight="1" x14ac:dyDescent="0.25">
      <c r="A26" s="14" t="s">
        <v>65</v>
      </c>
      <c r="B26" s="18">
        <f>B21*B25</f>
        <v>1.65</v>
      </c>
      <c r="C26" s="5" t="s">
        <v>66</v>
      </c>
    </row>
    <row r="27" spans="1:3" ht="15" customHeight="1" x14ac:dyDescent="0.25">
      <c r="A27" s="14" t="s">
        <v>67</v>
      </c>
      <c r="B27" s="20">
        <f>B22/B28*1000</f>
        <v>17.442148760330571</v>
      </c>
      <c r="C27" s="5" t="s">
        <v>68</v>
      </c>
    </row>
    <row r="28" spans="1:3" ht="15" customHeight="1" x14ac:dyDescent="0.25">
      <c r="A28" s="14" t="s">
        <v>69</v>
      </c>
      <c r="B28" s="15">
        <v>605</v>
      </c>
      <c r="C28" s="5" t="s">
        <v>70</v>
      </c>
    </row>
    <row r="30" spans="1:3" ht="15" customHeight="1" x14ac:dyDescent="0.25">
      <c r="A30" s="2" t="s">
        <v>71</v>
      </c>
      <c r="B30" s="2"/>
      <c r="C30" s="2"/>
    </row>
    <row r="31" spans="1:3" ht="15" customHeight="1" x14ac:dyDescent="0.25">
      <c r="A31" s="14" t="s">
        <v>72</v>
      </c>
      <c r="B31" s="15">
        <v>33.200000000000003</v>
      </c>
      <c r="C31" s="5" t="s">
        <v>73</v>
      </c>
    </row>
    <row r="32" spans="1:3" ht="15" customHeight="1" x14ac:dyDescent="0.25">
      <c r="A32" s="14" t="s">
        <v>74</v>
      </c>
      <c r="B32" s="15">
        <v>20.8</v>
      </c>
      <c r="C32" s="5" t="s">
        <v>75</v>
      </c>
    </row>
    <row r="33" spans="1:3" ht="15" customHeight="1" x14ac:dyDescent="0.25">
      <c r="A33" s="14" t="s">
        <v>76</v>
      </c>
      <c r="B33" s="15">
        <v>17.899999999999999</v>
      </c>
      <c r="C33" s="5" t="s">
        <v>73</v>
      </c>
    </row>
    <row r="34" spans="1:3" ht="15" customHeight="1" x14ac:dyDescent="0.25">
      <c r="A34" s="14" t="s">
        <v>77</v>
      </c>
      <c r="B34" s="15">
        <v>1.65</v>
      </c>
      <c r="C34" s="5" t="s">
        <v>73</v>
      </c>
    </row>
    <row r="35" spans="1:3" ht="15" customHeight="1" x14ac:dyDescent="0.25">
      <c r="A35" s="14" t="s">
        <v>78</v>
      </c>
      <c r="B35" s="18">
        <f>B33-B34</f>
        <v>16.25</v>
      </c>
      <c r="C35" s="5" t="s">
        <v>79</v>
      </c>
    </row>
    <row r="36" spans="1:3" ht="15" customHeight="1" x14ac:dyDescent="0.25">
      <c r="A36" s="14" t="s">
        <v>80</v>
      </c>
      <c r="B36" s="19">
        <v>0.115</v>
      </c>
      <c r="C36" s="5" t="s">
        <v>81</v>
      </c>
    </row>
    <row r="37" spans="1:3" ht="15" customHeight="1" x14ac:dyDescent="0.25">
      <c r="A37" s="14" t="s">
        <v>82</v>
      </c>
      <c r="B37" s="18">
        <f>B35*(1-B36)</f>
        <v>14.38125</v>
      </c>
      <c r="C37" s="5" t="s">
        <v>83</v>
      </c>
    </row>
    <row r="38" spans="1:3" ht="15" customHeight="1" x14ac:dyDescent="0.25">
      <c r="A38" s="14" t="s">
        <v>84</v>
      </c>
      <c r="B38" s="17">
        <v>430</v>
      </c>
      <c r="C38" s="5" t="s">
        <v>73</v>
      </c>
    </row>
    <row r="39" spans="1:3" ht="15" customHeight="1" x14ac:dyDescent="0.25">
      <c r="A39" s="14" t="s">
        <v>85</v>
      </c>
      <c r="B39" s="18">
        <f>B37*1000/B38</f>
        <v>33.444767441860463</v>
      </c>
      <c r="C39" s="5" t="s">
        <v>86</v>
      </c>
    </row>
    <row r="41" spans="1:3" ht="15" customHeight="1" x14ac:dyDescent="0.25">
      <c r="A41" s="2" t="s">
        <v>87</v>
      </c>
      <c r="B41" s="2"/>
      <c r="C41" s="2"/>
    </row>
    <row r="42" spans="1:3" ht="15" customHeight="1" x14ac:dyDescent="0.25">
      <c r="A42" s="14" t="s">
        <v>88</v>
      </c>
      <c r="B42" s="15">
        <v>12.9</v>
      </c>
      <c r="C42" s="5" t="s">
        <v>89</v>
      </c>
    </row>
    <row r="43" spans="1:3" ht="15" customHeight="1" x14ac:dyDescent="0.25">
      <c r="A43" s="14" t="s">
        <v>90</v>
      </c>
      <c r="B43" s="15">
        <v>3.6</v>
      </c>
      <c r="C43" s="5" t="s">
        <v>91</v>
      </c>
    </row>
    <row r="44" spans="1:3" ht="15" customHeight="1" x14ac:dyDescent="0.25">
      <c r="A44" s="14" t="s">
        <v>92</v>
      </c>
      <c r="B44" s="15">
        <v>2.8</v>
      </c>
      <c r="C44" s="5" t="s">
        <v>89</v>
      </c>
    </row>
    <row r="45" spans="1:3" ht="15" customHeight="1" x14ac:dyDescent="0.25">
      <c r="A45" s="14" t="s">
        <v>93</v>
      </c>
      <c r="B45" s="15">
        <v>0.32</v>
      </c>
      <c r="C45" s="5" t="s">
        <v>89</v>
      </c>
    </row>
    <row r="46" spans="1:3" ht="15" customHeight="1" x14ac:dyDescent="0.25">
      <c r="A46" s="14" t="s">
        <v>94</v>
      </c>
      <c r="B46" s="18">
        <f>B44-B45</f>
        <v>2.48</v>
      </c>
      <c r="C46" s="5" t="s">
        <v>79</v>
      </c>
    </row>
    <row r="47" spans="1:3" ht="15" customHeight="1" x14ac:dyDescent="0.25">
      <c r="A47" s="14" t="s">
        <v>95</v>
      </c>
      <c r="B47" s="19">
        <v>0.18</v>
      </c>
      <c r="C47" s="5" t="s">
        <v>81</v>
      </c>
    </row>
    <row r="48" spans="1:3" ht="15" customHeight="1" x14ac:dyDescent="0.25">
      <c r="A48" s="14" t="s">
        <v>96</v>
      </c>
      <c r="B48" s="18">
        <f>B46*(1-B47)</f>
        <v>2.0336000000000003</v>
      </c>
      <c r="C48" s="5" t="s">
        <v>83</v>
      </c>
    </row>
    <row r="49" spans="1:3" ht="15" customHeight="1" x14ac:dyDescent="0.25">
      <c r="A49" s="14" t="s">
        <v>97</v>
      </c>
      <c r="B49" s="15">
        <v>0.8</v>
      </c>
      <c r="C49" s="5" t="s">
        <v>98</v>
      </c>
    </row>
    <row r="51" spans="1:3" ht="15" customHeight="1" x14ac:dyDescent="0.25">
      <c r="A51" s="2" t="s">
        <v>99</v>
      </c>
      <c r="B51" s="2"/>
      <c r="C51" s="2"/>
    </row>
    <row r="52" spans="1:3" ht="15" customHeight="1" x14ac:dyDescent="0.25">
      <c r="A52" s="14" t="s">
        <v>100</v>
      </c>
      <c r="B52" s="15">
        <v>1.2</v>
      </c>
      <c r="C52" s="5" t="s">
        <v>101</v>
      </c>
    </row>
    <row r="53" spans="1:3" ht="15" customHeight="1" x14ac:dyDescent="0.25">
      <c r="A53" s="14" t="s">
        <v>102</v>
      </c>
      <c r="B53" s="15">
        <v>2.5</v>
      </c>
      <c r="C53" s="5" t="s">
        <v>103</v>
      </c>
    </row>
    <row r="54" spans="1:3" ht="15" customHeight="1" x14ac:dyDescent="0.25">
      <c r="A54" s="14" t="s">
        <v>104</v>
      </c>
      <c r="B54" s="15">
        <v>4</v>
      </c>
      <c r="C54" s="5" t="s">
        <v>105</v>
      </c>
    </row>
    <row r="55" spans="1:3" ht="15" customHeight="1" x14ac:dyDescent="0.25">
      <c r="A55" s="14" t="s">
        <v>106</v>
      </c>
      <c r="B55" s="15">
        <v>8.5</v>
      </c>
      <c r="C55" s="5" t="s">
        <v>107</v>
      </c>
    </row>
    <row r="56" spans="1:3" ht="15" customHeight="1" x14ac:dyDescent="0.25">
      <c r="A56" s="14" t="s">
        <v>108</v>
      </c>
      <c r="B56" s="15">
        <v>0.2</v>
      </c>
      <c r="C56" s="5" t="s">
        <v>109</v>
      </c>
    </row>
    <row r="57" spans="1:3" ht="15" customHeight="1" x14ac:dyDescent="0.25">
      <c r="A57" s="14" t="s">
        <v>110</v>
      </c>
      <c r="B57" s="15">
        <v>0.5</v>
      </c>
      <c r="C57" s="5"/>
    </row>
    <row r="58" spans="1:3" ht="15" customHeight="1" x14ac:dyDescent="0.25">
      <c r="A58" s="14" t="s">
        <v>111</v>
      </c>
      <c r="B58" s="15">
        <v>0.8</v>
      </c>
      <c r="C58" s="5" t="s">
        <v>112</v>
      </c>
    </row>
    <row r="59" spans="1:3" ht="15" customHeight="1" x14ac:dyDescent="0.25">
      <c r="A59" s="14" t="s">
        <v>113</v>
      </c>
      <c r="B59" s="19">
        <v>0.13</v>
      </c>
      <c r="C59" s="5" t="s">
        <v>114</v>
      </c>
    </row>
    <row r="60" spans="1:3" ht="15" customHeight="1" x14ac:dyDescent="0.25">
      <c r="A60" s="14" t="s">
        <v>115</v>
      </c>
      <c r="B60" s="15">
        <v>1.5</v>
      </c>
      <c r="C60" s="5" t="s">
        <v>116</v>
      </c>
    </row>
  </sheetData>
  <mergeCells count="7">
    <mergeCell ref="A41:C41"/>
    <mergeCell ref="A51:C51"/>
    <mergeCell ref="A1:C1"/>
    <mergeCell ref="A2:C2"/>
    <mergeCell ref="A8:C8"/>
    <mergeCell ref="A19:C19"/>
    <mergeCell ref="A30:C3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9"/>
  <sheetViews>
    <sheetView showGridLines="0" zoomScaleNormal="100" workbookViewId="0">
      <pane xSplit="1" ySplit="4" topLeftCell="B5" activePane="bottomRight" state="frozen"/>
      <selection pane="topRight" activeCell="B1" sqref="B1"/>
      <selection pane="bottomLeft" activeCell="A5" sqref="A5"/>
      <selection pane="bottomRight" sqref="A1:E1"/>
    </sheetView>
  </sheetViews>
  <sheetFormatPr defaultColWidth="8.7109375" defaultRowHeight="15" x14ac:dyDescent="0.25"/>
  <cols>
    <col min="1" max="1" width="40" customWidth="1"/>
    <col min="2" max="5" width="18" customWidth="1"/>
  </cols>
  <sheetData>
    <row r="1" spans="1:5" ht="25.5" customHeight="1" x14ac:dyDescent="0.25">
      <c r="A1" s="4" t="s">
        <v>117</v>
      </c>
      <c r="B1" s="4"/>
      <c r="C1" s="4"/>
      <c r="D1" s="4"/>
      <c r="E1" s="4"/>
    </row>
    <row r="2" spans="1:5" ht="15" customHeight="1" x14ac:dyDescent="0.25">
      <c r="A2" s="3" t="s">
        <v>118</v>
      </c>
      <c r="B2" s="3"/>
      <c r="C2" s="3"/>
      <c r="D2" s="3"/>
      <c r="E2" s="3"/>
    </row>
    <row r="4" spans="1:5" ht="15" customHeight="1" x14ac:dyDescent="0.25">
      <c r="A4" s="21"/>
      <c r="B4" s="22" t="s">
        <v>119</v>
      </c>
      <c r="C4" s="22" t="s">
        <v>120</v>
      </c>
      <c r="D4" s="22" t="s">
        <v>121</v>
      </c>
      <c r="E4" s="23" t="s">
        <v>122</v>
      </c>
    </row>
    <row r="5" spans="1:5" ht="15" customHeight="1" x14ac:dyDescent="0.25">
      <c r="A5" s="2" t="s">
        <v>123</v>
      </c>
      <c r="B5" s="2"/>
      <c r="C5" s="2"/>
      <c r="D5" s="2"/>
      <c r="E5" s="2"/>
    </row>
    <row r="6" spans="1:5" ht="15" customHeight="1" x14ac:dyDescent="0.25">
      <c r="A6" s="14" t="s">
        <v>124</v>
      </c>
      <c r="B6" s="24">
        <f>('Deal Assumptions'!B31)*1.08</f>
        <v>35.856000000000009</v>
      </c>
      <c r="C6" s="24">
        <f>('Deal Assumptions'!B31)*1.1</f>
        <v>36.520000000000003</v>
      </c>
      <c r="D6" s="24">
        <f>('Deal Assumptions'!B31)*1.12</f>
        <v>37.184000000000005</v>
      </c>
      <c r="E6" s="5" t="s">
        <v>125</v>
      </c>
    </row>
    <row r="7" spans="1:5" ht="15" customHeight="1" x14ac:dyDescent="0.25">
      <c r="A7" s="14" t="s">
        <v>126</v>
      </c>
      <c r="B7" s="24">
        <f>('Deal Assumptions'!B42)*1.06</f>
        <v>13.674000000000001</v>
      </c>
      <c r="C7" s="24">
        <f>('Deal Assumptions'!B42)*1.08</f>
        <v>13.932000000000002</v>
      </c>
      <c r="D7" s="24">
        <f>('Deal Assumptions'!B42)*1.1</f>
        <v>14.190000000000001</v>
      </c>
      <c r="E7" s="5" t="s">
        <v>127</v>
      </c>
    </row>
    <row r="8" spans="1:5" ht="15" customHeight="1" x14ac:dyDescent="0.25">
      <c r="A8" s="25" t="s">
        <v>128</v>
      </c>
      <c r="B8" s="26">
        <f>B6+B7</f>
        <v>49.530000000000008</v>
      </c>
      <c r="C8" s="26">
        <f>C6+C7</f>
        <v>50.452000000000005</v>
      </c>
      <c r="D8" s="26">
        <f>D6+D7</f>
        <v>51.374000000000009</v>
      </c>
    </row>
    <row r="10" spans="1:5" ht="15" customHeight="1" x14ac:dyDescent="0.25">
      <c r="A10" s="2" t="s">
        <v>129</v>
      </c>
      <c r="B10" s="2"/>
      <c r="C10" s="2"/>
      <c r="D10" s="2"/>
      <c r="E10" s="2"/>
    </row>
    <row r="11" spans="1:5" ht="15" customHeight="1" x14ac:dyDescent="0.25">
      <c r="A11" s="14" t="s">
        <v>130</v>
      </c>
      <c r="B11" s="24">
        <f>('Deal Assumptions'!B33)*1.09</f>
        <v>19.510999999999999</v>
      </c>
      <c r="C11" s="24">
        <f>('Deal Assumptions'!B33)*1.11</f>
        <v>19.869</v>
      </c>
      <c r="D11" s="24">
        <f>('Deal Assumptions'!B33)*1.13</f>
        <v>20.226999999999997</v>
      </c>
    </row>
    <row r="12" spans="1:5" ht="15" customHeight="1" x14ac:dyDescent="0.25">
      <c r="A12" s="14" t="s">
        <v>131</v>
      </c>
      <c r="B12" s="24">
        <f>('Deal Assumptions'!B44)*1.05</f>
        <v>2.94</v>
      </c>
      <c r="C12" s="24">
        <f>('Deal Assumptions'!B44)*1.08</f>
        <v>3.024</v>
      </c>
      <c r="D12" s="24">
        <f>('Deal Assumptions'!B44)*1.11</f>
        <v>3.1080000000000001</v>
      </c>
    </row>
    <row r="13" spans="1:5" ht="15" customHeight="1" x14ac:dyDescent="0.25">
      <c r="A13" s="14" t="s">
        <v>132</v>
      </c>
      <c r="B13" s="24">
        <f>-4.1</f>
        <v>-4.0999999999999996</v>
      </c>
      <c r="C13" s="24">
        <f>-4.1</f>
        <v>-4.0999999999999996</v>
      </c>
      <c r="D13" s="24">
        <f>-4.1</f>
        <v>-4.0999999999999996</v>
      </c>
      <c r="E13" s="5" t="s">
        <v>133</v>
      </c>
    </row>
    <row r="14" spans="1:5" ht="15" customHeight="1" x14ac:dyDescent="0.25">
      <c r="A14" s="25" t="s">
        <v>134</v>
      </c>
      <c r="B14" s="26">
        <f>B11+B12+B13</f>
        <v>18.350999999999999</v>
      </c>
      <c r="C14" s="26">
        <f>C11+C12+C13</f>
        <v>18.792999999999999</v>
      </c>
      <c r="D14" s="26">
        <f>D11+D12+D13</f>
        <v>19.234999999999999</v>
      </c>
    </row>
    <row r="16" spans="1:5" ht="15" customHeight="1" x14ac:dyDescent="0.25">
      <c r="A16" s="2" t="s">
        <v>135</v>
      </c>
      <c r="B16" s="2"/>
      <c r="C16" s="2"/>
      <c r="D16" s="2"/>
      <c r="E16" s="2"/>
    </row>
    <row r="17" spans="1:5" ht="15" customHeight="1" x14ac:dyDescent="0.25">
      <c r="A17" s="14" t="s">
        <v>136</v>
      </c>
      <c r="B17" s="24">
        <f>-'Deal Assumptions'!B34</f>
        <v>-1.65</v>
      </c>
      <c r="C17" s="24">
        <f>-'Deal Assumptions'!B34</f>
        <v>-1.65</v>
      </c>
      <c r="D17" s="24">
        <f>-'Deal Assumptions'!B34</f>
        <v>-1.65</v>
      </c>
    </row>
    <row r="18" spans="1:5" ht="15" customHeight="1" x14ac:dyDescent="0.25">
      <c r="A18" s="14" t="s">
        <v>137</v>
      </c>
      <c r="B18" s="24">
        <f>-'Deal Assumptions'!B45</f>
        <v>-0.32</v>
      </c>
      <c r="C18" s="24">
        <f>-'Deal Assumptions'!B45</f>
        <v>-0.32</v>
      </c>
      <c r="D18" s="24">
        <f>-'Deal Assumptions'!B45</f>
        <v>-0.32</v>
      </c>
    </row>
    <row r="19" spans="1:5" ht="15" customHeight="1" x14ac:dyDescent="0.25">
      <c r="A19" s="14" t="s">
        <v>138</v>
      </c>
      <c r="B19" s="24">
        <f>-'Deal Assumptions'!B26</f>
        <v>-1.65</v>
      </c>
      <c r="C19" s="24">
        <f>-'Deal Assumptions'!B26</f>
        <v>-1.65</v>
      </c>
      <c r="D19" s="24">
        <f>-'Deal Assumptions'!B26</f>
        <v>-1.65</v>
      </c>
    </row>
    <row r="20" spans="1:5" ht="15" customHeight="1" x14ac:dyDescent="0.25">
      <c r="A20" s="25" t="s">
        <v>139</v>
      </c>
      <c r="B20" s="27">
        <f>B17+B18+B19</f>
        <v>-3.62</v>
      </c>
      <c r="C20" s="27">
        <f>C17+C18+C19</f>
        <v>-3.62</v>
      </c>
      <c r="D20" s="27">
        <f>D17+D18+D19</f>
        <v>-3.62</v>
      </c>
    </row>
    <row r="21" spans="1:5" ht="15" customHeight="1" x14ac:dyDescent="0.25">
      <c r="A21" s="25" t="s">
        <v>140</v>
      </c>
      <c r="B21" s="27">
        <f>B14+B20</f>
        <v>14.730999999999998</v>
      </c>
      <c r="C21" s="27">
        <f>C14+C20</f>
        <v>15.172999999999998</v>
      </c>
      <c r="D21" s="27">
        <f>D14+D20</f>
        <v>15.614999999999998</v>
      </c>
    </row>
    <row r="22" spans="1:5" ht="15" customHeight="1" x14ac:dyDescent="0.25">
      <c r="A22" s="14" t="s">
        <v>141</v>
      </c>
      <c r="B22" s="24">
        <f>-MAX(B21*'Deal Assumptions'!B36,0)</f>
        <v>-1.6940649999999999</v>
      </c>
      <c r="C22" s="24">
        <f>-MAX(C21*'Deal Assumptions'!B36,0)</f>
        <v>-1.7448949999999999</v>
      </c>
      <c r="D22" s="24">
        <f>-MAX(D21*'Deal Assumptions'!B36,0)</f>
        <v>-1.7957249999999998</v>
      </c>
    </row>
    <row r="23" spans="1:5" ht="15" customHeight="1" x14ac:dyDescent="0.25">
      <c r="A23" s="25" t="s">
        <v>142</v>
      </c>
      <c r="B23" s="26">
        <f>B21+B22</f>
        <v>13.036934999999998</v>
      </c>
      <c r="C23" s="26">
        <f>C21+C22</f>
        <v>13.428104999999999</v>
      </c>
      <c r="D23" s="26">
        <f>D21+D22</f>
        <v>13.819274999999999</v>
      </c>
    </row>
    <row r="25" spans="1:5" ht="15" customHeight="1" x14ac:dyDescent="0.25">
      <c r="A25" s="2" t="s">
        <v>143</v>
      </c>
      <c r="B25" s="2"/>
      <c r="C25" s="2"/>
      <c r="D25" s="2"/>
      <c r="E25" s="2"/>
    </row>
    <row r="26" spans="1:5" ht="15" customHeight="1" x14ac:dyDescent="0.25">
      <c r="A26" s="14" t="s">
        <v>144</v>
      </c>
      <c r="B26" s="28">
        <f>'Deal Assumptions'!B38</f>
        <v>430</v>
      </c>
      <c r="C26" s="28">
        <f>'Deal Assumptions'!B38</f>
        <v>430</v>
      </c>
      <c r="D26" s="28">
        <f>'Deal Assumptions'!B38</f>
        <v>430</v>
      </c>
    </row>
    <row r="27" spans="1:5" ht="15" customHeight="1" x14ac:dyDescent="0.25">
      <c r="A27" s="14" t="s">
        <v>145</v>
      </c>
      <c r="B27" s="28">
        <f>'Deal Assumptions'!B27</f>
        <v>17.442148760330571</v>
      </c>
      <c r="C27" s="28">
        <f>'Deal Assumptions'!B27</f>
        <v>17.442148760330571</v>
      </c>
      <c r="D27" s="28">
        <f>'Deal Assumptions'!B27</f>
        <v>17.442148760330571</v>
      </c>
    </row>
    <row r="28" spans="1:5" ht="15" customHeight="1" x14ac:dyDescent="0.25">
      <c r="A28" s="25" t="s">
        <v>146</v>
      </c>
      <c r="B28" s="29">
        <f>B26+B27</f>
        <v>447.44214876033055</v>
      </c>
      <c r="C28" s="29">
        <f>C26+C27</f>
        <v>447.44214876033055</v>
      </c>
      <c r="D28" s="29">
        <f>D26+D27</f>
        <v>447.44214876033055</v>
      </c>
    </row>
    <row r="30" spans="1:5" ht="15" customHeight="1" x14ac:dyDescent="0.25">
      <c r="A30" s="2" t="s">
        <v>11</v>
      </c>
      <c r="B30" s="2"/>
      <c r="C30" s="2"/>
      <c r="D30" s="2"/>
      <c r="E30" s="2"/>
    </row>
    <row r="31" spans="1:5" ht="15" customHeight="1" x14ac:dyDescent="0.25">
      <c r="A31" s="25" t="s">
        <v>147</v>
      </c>
      <c r="B31" s="27">
        <f>B23*1000/B28</f>
        <v>29.136582318227571</v>
      </c>
      <c r="C31" s="27">
        <f>C23*1000/C28</f>
        <v>30.010818241427394</v>
      </c>
      <c r="D31" s="27">
        <f>D23*1000/D28</f>
        <v>30.885054164627221</v>
      </c>
    </row>
    <row r="32" spans="1:5" ht="15" customHeight="1" x14ac:dyDescent="0.25">
      <c r="A32" s="14" t="s">
        <v>148</v>
      </c>
      <c r="B32" s="30">
        <f>'Deal Assumptions'!B52*(1-'Deal Assumptions'!B59)</f>
        <v>1.044</v>
      </c>
      <c r="C32" s="30">
        <f>'Deal Assumptions'!B53*(1-'Deal Assumptions'!B59)</f>
        <v>2.1749999999999998</v>
      </c>
      <c r="D32" s="30">
        <f>'Deal Assumptions'!B54*(1-'Deal Assumptions'!B59)</f>
        <v>3.48</v>
      </c>
    </row>
    <row r="33" spans="1:4" ht="15" customHeight="1" x14ac:dyDescent="0.25">
      <c r="A33" s="14" t="s">
        <v>149</v>
      </c>
      <c r="B33" s="30">
        <f>'Deal Assumptions'!B56*(1-'Deal Assumptions'!B59)</f>
        <v>0.17400000000000002</v>
      </c>
      <c r="C33" s="30">
        <f>'Deal Assumptions'!B57*(1-'Deal Assumptions'!B59)</f>
        <v>0.435</v>
      </c>
      <c r="D33" s="30">
        <f>'Deal Assumptions'!B58*(1-'Deal Assumptions'!B59)</f>
        <v>0.69600000000000006</v>
      </c>
    </row>
    <row r="34" spans="1:4" ht="15" customHeight="1" x14ac:dyDescent="0.25">
      <c r="A34" s="25" t="s">
        <v>150</v>
      </c>
      <c r="B34" s="26">
        <f>B23+B32+B33</f>
        <v>14.254934999999998</v>
      </c>
      <c r="C34" s="26">
        <f>C23+C32+C33</f>
        <v>16.038104999999998</v>
      </c>
      <c r="D34" s="26">
        <f>D23+D32+D33</f>
        <v>17.995274999999999</v>
      </c>
    </row>
    <row r="35" spans="1:4" ht="15" customHeight="1" x14ac:dyDescent="0.25">
      <c r="A35" s="25" t="s">
        <v>151</v>
      </c>
      <c r="B35" s="31">
        <f>B34*1000/B28</f>
        <v>31.858721936443139</v>
      </c>
      <c r="C35" s="31">
        <f>C34*1000/C28</f>
        <v>35.843974566175042</v>
      </c>
      <c r="D35" s="31">
        <f>D34*1000/D28</f>
        <v>40.21810428422345</v>
      </c>
    </row>
    <row r="36" spans="1:4" ht="15" customHeight="1" x14ac:dyDescent="0.25">
      <c r="A36" s="14" t="s">
        <v>152</v>
      </c>
      <c r="B36" s="24">
        <f>'Deal Assumptions'!B39*1.08</f>
        <v>36.120348837209306</v>
      </c>
      <c r="C36" s="24">
        <f>'Deal Assumptions'!B39*1.1</f>
        <v>36.78924418604651</v>
      </c>
      <c r="D36" s="24">
        <f>'Deal Assumptions'!B39*1.12</f>
        <v>37.458139534883721</v>
      </c>
    </row>
    <row r="37" spans="1:4" ht="15" customHeight="1" x14ac:dyDescent="0.25">
      <c r="A37" s="25" t="s">
        <v>153</v>
      </c>
      <c r="B37" s="27">
        <f>B31-B36</f>
        <v>-6.9837665189817351</v>
      </c>
      <c r="C37" s="27">
        <f>C31-C36</f>
        <v>-6.7784259446191157</v>
      </c>
      <c r="D37" s="27">
        <f>D31-D36</f>
        <v>-6.5730853702565</v>
      </c>
    </row>
    <row r="38" spans="1:4" ht="15" customHeight="1" x14ac:dyDescent="0.25">
      <c r="A38" s="25" t="s">
        <v>154</v>
      </c>
      <c r="B38" s="32">
        <f>B35-B36</f>
        <v>-4.2616269007661671</v>
      </c>
      <c r="C38" s="32">
        <f>C35-C36</f>
        <v>-0.94526961987146763</v>
      </c>
      <c r="D38" s="32">
        <f>D35-D36</f>
        <v>2.7599647493397299</v>
      </c>
    </row>
    <row r="39" spans="1:4" ht="15" customHeight="1" x14ac:dyDescent="0.25">
      <c r="A39" s="25" t="s">
        <v>155</v>
      </c>
      <c r="B39" s="33">
        <f>B38/B36</f>
        <v>-0.11798410142639765</v>
      </c>
      <c r="C39" s="33">
        <f>C38/C36</f>
        <v>-2.5694184286340713E-2</v>
      </c>
      <c r="D39" s="33">
        <f>D38/D36</f>
        <v>7.368130888533457E-2</v>
      </c>
    </row>
  </sheetData>
  <mergeCells count="7">
    <mergeCell ref="A25:E25"/>
    <mergeCell ref="A30:E30"/>
    <mergeCell ref="A1:E1"/>
    <mergeCell ref="A2:E2"/>
    <mergeCell ref="A5:E5"/>
    <mergeCell ref="A10:E10"/>
    <mergeCell ref="A16:E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showGridLines="0" zoomScaleNormal="100" workbookViewId="0">
      <pane xSplit="1" ySplit="4" topLeftCell="B5" activePane="bottomRight" state="frozen"/>
      <selection pane="topRight" activeCell="B1" sqref="B1"/>
      <selection pane="bottomLeft" activeCell="A5" sqref="A5"/>
      <selection pane="bottomRight" sqref="A1:F1"/>
    </sheetView>
  </sheetViews>
  <sheetFormatPr defaultColWidth="8.7109375" defaultRowHeight="15" x14ac:dyDescent="0.25"/>
  <cols>
    <col min="1" max="1" width="40" customWidth="1"/>
    <col min="2" max="6" width="16" customWidth="1"/>
  </cols>
  <sheetData>
    <row r="1" spans="1:6" ht="25.5" customHeight="1" x14ac:dyDescent="0.25">
      <c r="A1" s="4" t="s">
        <v>156</v>
      </c>
      <c r="B1" s="4"/>
      <c r="C1" s="4"/>
      <c r="D1" s="4"/>
      <c r="E1" s="4"/>
      <c r="F1" s="4"/>
    </row>
    <row r="2" spans="1:6" ht="15" customHeight="1" x14ac:dyDescent="0.25">
      <c r="A2" s="3" t="s">
        <v>157</v>
      </c>
      <c r="B2" s="3"/>
      <c r="C2" s="3"/>
      <c r="D2" s="3"/>
      <c r="E2" s="3"/>
      <c r="F2" s="3"/>
    </row>
    <row r="4" spans="1:6" ht="15" customHeight="1" x14ac:dyDescent="0.25">
      <c r="A4" s="21"/>
      <c r="B4" s="22" t="s">
        <v>119</v>
      </c>
      <c r="C4" s="22" t="s">
        <v>120</v>
      </c>
      <c r="D4" s="22" t="s">
        <v>121</v>
      </c>
      <c r="E4" s="22" t="s">
        <v>158</v>
      </c>
      <c r="F4" s="22" t="s">
        <v>122</v>
      </c>
    </row>
    <row r="5" spans="1:6" ht="15" customHeight="1" x14ac:dyDescent="0.25">
      <c r="A5" s="2" t="s">
        <v>159</v>
      </c>
      <c r="B5" s="2"/>
      <c r="C5" s="2"/>
      <c r="D5" s="2"/>
      <c r="E5" s="2"/>
      <c r="F5" s="2"/>
    </row>
    <row r="6" spans="1:6" ht="15" customHeight="1" x14ac:dyDescent="0.25">
      <c r="A6" s="14" t="s">
        <v>160</v>
      </c>
      <c r="B6" s="15">
        <v>0.55000000000000004</v>
      </c>
      <c r="C6" s="15">
        <v>1.2</v>
      </c>
      <c r="D6" s="15">
        <v>2.1</v>
      </c>
      <c r="E6" s="15">
        <v>4.5</v>
      </c>
      <c r="F6" s="5" t="s">
        <v>161</v>
      </c>
    </row>
    <row r="7" spans="1:6" ht="15" customHeight="1" x14ac:dyDescent="0.25">
      <c r="A7" s="14" t="s">
        <v>162</v>
      </c>
      <c r="B7" s="15">
        <v>0.15</v>
      </c>
      <c r="C7" s="15">
        <v>0.35</v>
      </c>
      <c r="D7" s="15">
        <v>0.55000000000000004</v>
      </c>
      <c r="E7" s="15">
        <v>0.85</v>
      </c>
      <c r="F7" s="5" t="s">
        <v>163</v>
      </c>
    </row>
    <row r="8" spans="1:6" ht="15" customHeight="1" x14ac:dyDescent="0.25">
      <c r="A8" s="14" t="s">
        <v>164</v>
      </c>
      <c r="B8" s="15">
        <v>0.2</v>
      </c>
      <c r="C8" s="15">
        <v>0.45</v>
      </c>
      <c r="D8" s="15">
        <v>0.7</v>
      </c>
      <c r="E8" s="15">
        <v>1.3</v>
      </c>
      <c r="F8" s="5" t="s">
        <v>165</v>
      </c>
    </row>
    <row r="9" spans="1:6" ht="15" customHeight="1" x14ac:dyDescent="0.25">
      <c r="A9" s="14" t="s">
        <v>166</v>
      </c>
      <c r="B9" s="15">
        <v>0.18</v>
      </c>
      <c r="C9" s="15">
        <v>0.35</v>
      </c>
      <c r="D9" s="15">
        <v>0.45</v>
      </c>
      <c r="E9" s="15">
        <v>1.25</v>
      </c>
      <c r="F9" s="5" t="s">
        <v>167</v>
      </c>
    </row>
    <row r="10" spans="1:6" ht="15" customHeight="1" x14ac:dyDescent="0.25">
      <c r="A10" s="14" t="s">
        <v>168</v>
      </c>
      <c r="B10" s="15">
        <v>0.12</v>
      </c>
      <c r="C10" s="15">
        <v>0.15</v>
      </c>
      <c r="D10" s="15">
        <v>0.2</v>
      </c>
      <c r="E10" s="15">
        <v>0.6</v>
      </c>
      <c r="F10" s="5" t="s">
        <v>169</v>
      </c>
    </row>
    <row r="11" spans="1:6" ht="15" customHeight="1" x14ac:dyDescent="0.25">
      <c r="A11" s="34" t="s">
        <v>170</v>
      </c>
      <c r="B11" s="26">
        <f>SUM(B6,B7,B8,B9,B10)</f>
        <v>1.2000000000000002</v>
      </c>
      <c r="C11" s="26">
        <f>SUM(C6,C7,C8,C9,C10)</f>
        <v>2.4999999999999996</v>
      </c>
      <c r="D11" s="26">
        <f>SUM(D6,D7,D8,D9,D10)</f>
        <v>4.0000000000000009</v>
      </c>
      <c r="E11" s="26">
        <f>SUM(E6,E7,E8,E9,E10)</f>
        <v>8.5</v>
      </c>
    </row>
    <row r="13" spans="1:6" ht="15" customHeight="1" x14ac:dyDescent="0.25">
      <c r="A13" s="2" t="s">
        <v>171</v>
      </c>
      <c r="B13" s="2"/>
      <c r="C13" s="2"/>
      <c r="D13" s="2"/>
      <c r="E13" s="2"/>
      <c r="F13" s="2"/>
    </row>
    <row r="14" spans="1:6" ht="15" customHeight="1" x14ac:dyDescent="0.25">
      <c r="A14" s="14" t="s">
        <v>172</v>
      </c>
      <c r="B14" s="15">
        <v>0.1</v>
      </c>
      <c r="C14" s="15">
        <v>0.25</v>
      </c>
      <c r="D14" s="15">
        <v>0.4</v>
      </c>
      <c r="E14" s="15">
        <v>0.8</v>
      </c>
      <c r="F14" s="5" t="s">
        <v>173</v>
      </c>
    </row>
    <row r="15" spans="1:6" ht="15" customHeight="1" x14ac:dyDescent="0.25">
      <c r="A15" s="14" t="s">
        <v>174</v>
      </c>
      <c r="B15" s="15">
        <v>0.06</v>
      </c>
      <c r="C15" s="15">
        <v>0.14000000000000001</v>
      </c>
      <c r="D15" s="15">
        <v>0.24</v>
      </c>
      <c r="E15" s="15">
        <v>0.5</v>
      </c>
      <c r="F15" s="5" t="s">
        <v>175</v>
      </c>
    </row>
    <row r="16" spans="1:6" ht="15" customHeight="1" x14ac:dyDescent="0.25">
      <c r="A16" s="14" t="s">
        <v>176</v>
      </c>
      <c r="B16" s="15">
        <v>0.04</v>
      </c>
      <c r="C16" s="15">
        <v>0.11</v>
      </c>
      <c r="D16" s="15">
        <v>0.16</v>
      </c>
      <c r="E16" s="15">
        <v>0.3</v>
      </c>
      <c r="F16" s="5" t="s">
        <v>177</v>
      </c>
    </row>
    <row r="17" spans="1:6" ht="15" customHeight="1" x14ac:dyDescent="0.25">
      <c r="A17" s="35" t="s">
        <v>178</v>
      </c>
      <c r="B17" s="36">
        <f>SUM(B14,B15,B16)</f>
        <v>0.2</v>
      </c>
      <c r="C17" s="36">
        <f>SUM(C14,C15,C16)</f>
        <v>0.5</v>
      </c>
      <c r="D17" s="36">
        <f>SUM(D14,D15,D16)</f>
        <v>0.8</v>
      </c>
      <c r="E17" s="36">
        <f>SUM(E14,E15,E16)</f>
        <v>1.6</v>
      </c>
    </row>
    <row r="19" spans="1:6" ht="15" customHeight="1" x14ac:dyDescent="0.25">
      <c r="A19" s="2" t="s">
        <v>179</v>
      </c>
      <c r="B19" s="2"/>
      <c r="C19" s="2"/>
      <c r="D19" s="2"/>
      <c r="E19" s="2"/>
      <c r="F19" s="2"/>
    </row>
    <row r="20" spans="1:6" ht="15" customHeight="1" x14ac:dyDescent="0.25">
      <c r="A20" s="37" t="s">
        <v>180</v>
      </c>
      <c r="B20" s="31">
        <f>B11+B17</f>
        <v>1.4000000000000001</v>
      </c>
      <c r="C20" s="31">
        <f>C11+C17</f>
        <v>2.9999999999999996</v>
      </c>
      <c r="D20" s="31">
        <f>D11+D17</f>
        <v>4.8000000000000007</v>
      </c>
      <c r="E20" s="31">
        <f>E11+E17</f>
        <v>10.1</v>
      </c>
    </row>
    <row r="22" spans="1:6" ht="15" customHeight="1" x14ac:dyDescent="0.25">
      <c r="A22" s="14" t="s">
        <v>181</v>
      </c>
      <c r="B22" s="15">
        <v>1.5</v>
      </c>
      <c r="C22" s="15">
        <v>0</v>
      </c>
      <c r="D22" s="15">
        <v>0</v>
      </c>
      <c r="E22" s="15">
        <v>0</v>
      </c>
      <c r="F22" s="5" t="s">
        <v>182</v>
      </c>
    </row>
    <row r="23" spans="1:6" ht="15" customHeight="1" x14ac:dyDescent="0.25">
      <c r="A23" s="25" t="s">
        <v>183</v>
      </c>
      <c r="B23" s="32">
        <f>B20-B22</f>
        <v>-9.9999999999999867E-2</v>
      </c>
      <c r="C23" s="32">
        <f>C20-C22</f>
        <v>2.9999999999999996</v>
      </c>
      <c r="D23" s="32">
        <f>D20-D22</f>
        <v>4.8000000000000007</v>
      </c>
      <c r="E23" s="32">
        <f>E20-E22</f>
        <v>10.1</v>
      </c>
    </row>
    <row r="25" spans="1:6" ht="15" customHeight="1" x14ac:dyDescent="0.25">
      <c r="A25" s="25" t="s">
        <v>184</v>
      </c>
      <c r="B25" s="38">
        <f>'Deal Assumptions'!B60/E20</f>
        <v>0.14851485148514851</v>
      </c>
      <c r="C25" s="3" t="s">
        <v>185</v>
      </c>
      <c r="D25" s="3"/>
      <c r="E25" s="3"/>
      <c r="F25" s="3"/>
    </row>
    <row r="26" spans="1:6" ht="15" customHeight="1" x14ac:dyDescent="0.25">
      <c r="A26" s="14" t="s">
        <v>186</v>
      </c>
      <c r="B26" s="24">
        <f>B11*(1-'Deal Assumptions'!B59)/1.1+C11*(1-'Deal Assumptions'!B59)/1.1^2+D11*(1-'Deal Assumptions'!B59)/1.1^3</f>
        <v>5.3611870773854235</v>
      </c>
    </row>
  </sheetData>
  <mergeCells count="6">
    <mergeCell ref="C25:F25"/>
    <mergeCell ref="A1:F1"/>
    <mergeCell ref="A2:F2"/>
    <mergeCell ref="A5:F5"/>
    <mergeCell ref="A13:F13"/>
    <mergeCell ref="A19:F1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
  <sheetViews>
    <sheetView showGridLines="0" zoomScaleNormal="100" workbookViewId="0">
      <pane xSplit="1" ySplit="4" topLeftCell="B5" activePane="bottomRight" state="frozen"/>
      <selection pane="topRight" activeCell="B1" sqref="B1"/>
      <selection pane="bottomLeft" activeCell="A5" sqref="A5"/>
      <selection pane="bottomRight" sqref="A1:F1"/>
    </sheetView>
  </sheetViews>
  <sheetFormatPr defaultColWidth="8.7109375" defaultRowHeight="15" x14ac:dyDescent="0.25"/>
  <cols>
    <col min="1" max="1" width="38" customWidth="1"/>
    <col min="2" max="6" width="16" customWidth="1"/>
  </cols>
  <sheetData>
    <row r="1" spans="1:7" ht="25.5" customHeight="1" x14ac:dyDescent="0.25">
      <c r="A1" s="4" t="s">
        <v>187</v>
      </c>
      <c r="B1" s="4"/>
      <c r="C1" s="4"/>
      <c r="D1" s="4"/>
      <c r="E1" s="4"/>
      <c r="F1" s="4"/>
    </row>
    <row r="2" spans="1:7" ht="15" customHeight="1" x14ac:dyDescent="0.25">
      <c r="A2" s="3" t="s">
        <v>188</v>
      </c>
      <c r="B2" s="3"/>
      <c r="C2" s="3"/>
      <c r="D2" s="3"/>
      <c r="E2" s="3"/>
      <c r="F2" s="3"/>
    </row>
    <row r="4" spans="1:7" ht="30" customHeight="1" x14ac:dyDescent="0.25">
      <c r="B4" s="39" t="s">
        <v>189</v>
      </c>
      <c r="C4" s="39" t="s">
        <v>190</v>
      </c>
      <c r="D4" s="40" t="s">
        <v>191</v>
      </c>
      <c r="E4" s="41" t="s">
        <v>192</v>
      </c>
      <c r="F4" s="42" t="s">
        <v>193</v>
      </c>
      <c r="G4" s="43" t="s">
        <v>122</v>
      </c>
    </row>
    <row r="5" spans="1:7" ht="15" customHeight="1" x14ac:dyDescent="0.25">
      <c r="A5" s="44" t="s">
        <v>194</v>
      </c>
      <c r="B5" s="45">
        <v>33.200000000000003</v>
      </c>
      <c r="C5" s="45">
        <v>12.9</v>
      </c>
      <c r="D5" s="26">
        <f>B5+C5</f>
        <v>46.1</v>
      </c>
      <c r="E5" s="46">
        <v>0.5</v>
      </c>
      <c r="F5" s="31">
        <f>D5+E5</f>
        <v>46.6</v>
      </c>
      <c r="G5" s="5" t="s">
        <v>195</v>
      </c>
    </row>
    <row r="6" spans="1:7" ht="15" customHeight="1" x14ac:dyDescent="0.25">
      <c r="A6" s="44" t="s">
        <v>196</v>
      </c>
      <c r="B6" s="45">
        <v>20.8</v>
      </c>
      <c r="C6" s="45">
        <v>3.6</v>
      </c>
      <c r="D6" s="26">
        <f>B6+C6</f>
        <v>24.400000000000002</v>
      </c>
      <c r="E6" s="46">
        <v>3</v>
      </c>
      <c r="F6" s="31">
        <f>D6+E6</f>
        <v>27.400000000000002</v>
      </c>
      <c r="G6" s="5" t="s">
        <v>197</v>
      </c>
    </row>
    <row r="7" spans="1:7" ht="15" customHeight="1" x14ac:dyDescent="0.25">
      <c r="A7" s="14" t="s">
        <v>198</v>
      </c>
      <c r="B7" s="47">
        <f>B6/B5</f>
        <v>0.62650602409638556</v>
      </c>
      <c r="C7" s="47">
        <f>C6/C5</f>
        <v>0.27906976744186046</v>
      </c>
      <c r="D7" s="48"/>
      <c r="E7" s="49"/>
      <c r="F7" s="50"/>
      <c r="G7" s="5"/>
    </row>
    <row r="8" spans="1:7" ht="15" customHeight="1" x14ac:dyDescent="0.25">
      <c r="A8" s="14" t="s">
        <v>199</v>
      </c>
      <c r="B8" s="45">
        <v>-3.3</v>
      </c>
      <c r="C8" s="45">
        <v>-0.8</v>
      </c>
      <c r="D8" s="51">
        <f>B8+C8</f>
        <v>-4.0999999999999996</v>
      </c>
      <c r="E8" s="46">
        <v>0</v>
      </c>
      <c r="F8" s="52">
        <f>D8+E8</f>
        <v>-4.0999999999999996</v>
      </c>
      <c r="G8" s="5" t="s">
        <v>200</v>
      </c>
    </row>
    <row r="9" spans="1:7" ht="15" customHeight="1" x14ac:dyDescent="0.25">
      <c r="A9" s="14" t="s">
        <v>201</v>
      </c>
      <c r="B9" s="45">
        <v>0</v>
      </c>
      <c r="C9" s="45">
        <v>0</v>
      </c>
      <c r="D9" s="53">
        <v>-4.0999999999999996</v>
      </c>
      <c r="E9" s="46">
        <v>0</v>
      </c>
      <c r="F9" s="52">
        <f>D9+E9</f>
        <v>-4.0999999999999996</v>
      </c>
      <c r="G9" s="5" t="s">
        <v>202</v>
      </c>
    </row>
    <row r="10" spans="1:7" ht="15" customHeight="1" x14ac:dyDescent="0.25">
      <c r="A10" s="44" t="s">
        <v>203</v>
      </c>
      <c r="B10" s="27">
        <f>B6+B8+B9</f>
        <v>17.5</v>
      </c>
      <c r="C10" s="27">
        <f>C6+C8+C9</f>
        <v>2.8</v>
      </c>
      <c r="D10" s="26">
        <f>D6+D8+D9</f>
        <v>16.200000000000003</v>
      </c>
      <c r="E10" s="49"/>
      <c r="F10" s="31">
        <f>F6+F8+F9</f>
        <v>19.200000000000003</v>
      </c>
      <c r="G10" s="5"/>
    </row>
    <row r="11" spans="1:7" ht="15" customHeight="1" x14ac:dyDescent="0.25">
      <c r="A11" s="14" t="s">
        <v>204</v>
      </c>
      <c r="B11" s="45">
        <v>-1.65</v>
      </c>
      <c r="C11" s="45">
        <v>-0.32</v>
      </c>
      <c r="D11" s="53">
        <v>-1.65</v>
      </c>
      <c r="E11" s="46">
        <v>0</v>
      </c>
      <c r="F11" s="52">
        <f>D11+E11</f>
        <v>-1.65</v>
      </c>
      <c r="G11" s="5" t="s">
        <v>205</v>
      </c>
    </row>
    <row r="12" spans="1:7" ht="15" customHeight="1" x14ac:dyDescent="0.25">
      <c r="A12" s="14" t="s">
        <v>206</v>
      </c>
      <c r="B12" s="24">
        <f>B10+B11</f>
        <v>15.85</v>
      </c>
      <c r="C12" s="24">
        <f>C10+C11</f>
        <v>2.48</v>
      </c>
      <c r="D12" s="51">
        <f>D10+D11</f>
        <v>14.550000000000002</v>
      </c>
      <c r="E12" s="30">
        <f>E10+E11</f>
        <v>0</v>
      </c>
      <c r="F12" s="52">
        <f>F10+F11</f>
        <v>17.550000000000004</v>
      </c>
      <c r="G12" s="5"/>
    </row>
    <row r="13" spans="1:7" ht="15" customHeight="1" x14ac:dyDescent="0.25">
      <c r="A13" s="14" t="s">
        <v>207</v>
      </c>
      <c r="B13" s="24">
        <f>-MAX(B12*'Deal Assumptions'!B36,0)</f>
        <v>-1.8227500000000001</v>
      </c>
      <c r="C13" s="24">
        <f>-MAX(C12*'Deal Assumptions'!B36,0)</f>
        <v>-0.28520000000000001</v>
      </c>
      <c r="D13" s="51">
        <f>-MAX(D12*'Deal Assumptions'!B36,0)</f>
        <v>-1.6732500000000003</v>
      </c>
      <c r="E13" s="30">
        <f>-MAX(E12*'Deal Assumptions'!B36,0)</f>
        <v>0</v>
      </c>
      <c r="F13" s="52">
        <f>-MAX(F12*'Deal Assumptions'!B36,0)</f>
        <v>-2.0182500000000005</v>
      </c>
      <c r="G13" s="5"/>
    </row>
    <row r="14" spans="1:7" ht="15" customHeight="1" x14ac:dyDescent="0.25">
      <c r="A14" s="44" t="s">
        <v>208</v>
      </c>
      <c r="B14" s="27">
        <f>B12+B13</f>
        <v>14.027249999999999</v>
      </c>
      <c r="C14" s="27">
        <f>C12+C13</f>
        <v>2.1947999999999999</v>
      </c>
      <c r="D14" s="26">
        <f>D12+D13</f>
        <v>12.876750000000001</v>
      </c>
      <c r="E14" s="36">
        <f>E12+E13</f>
        <v>0</v>
      </c>
      <c r="F14" s="31">
        <f>F12+F13</f>
        <v>15.531750000000004</v>
      </c>
      <c r="G14" s="5"/>
    </row>
    <row r="15" spans="1:7" ht="15" customHeight="1" x14ac:dyDescent="0.25">
      <c r="A15" s="14" t="s">
        <v>209</v>
      </c>
      <c r="B15" s="45">
        <v>430</v>
      </c>
      <c r="C15" s="45">
        <v>433</v>
      </c>
      <c r="D15" s="51">
        <f>B15+C15</f>
        <v>863</v>
      </c>
      <c r="E15" s="49"/>
      <c r="F15" s="54">
        <f>'Deal Assumptions'!B38+'Deal Assumptions'!B27</f>
        <v>447.44214876033055</v>
      </c>
      <c r="G15" s="5" t="s">
        <v>210</v>
      </c>
    </row>
    <row r="16" spans="1:7" ht="15" customHeight="1" x14ac:dyDescent="0.25">
      <c r="A16" s="44" t="s">
        <v>211</v>
      </c>
      <c r="B16" s="27">
        <f>B14*1000/B15</f>
        <v>32.621511627906969</v>
      </c>
      <c r="C16" s="27">
        <f>C14*1000/C15</f>
        <v>5.0688221709006926</v>
      </c>
      <c r="D16" s="26">
        <f>D14*1000/D15</f>
        <v>14.920915411355738</v>
      </c>
      <c r="E16" s="36"/>
      <c r="F16" s="31">
        <f>F14*1000/F15</f>
        <v>34.712308715287087</v>
      </c>
      <c r="G16" s="5" t="s">
        <v>212</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2"/>
  <sheetViews>
    <sheetView showGridLines="0" zoomScaleNormal="100" workbookViewId="0">
      <pane ySplit="3" topLeftCell="A4" activePane="bottomLeft" state="frozen"/>
      <selection pane="bottomLeft" activeCell="A8" sqref="A8:B8"/>
    </sheetView>
  </sheetViews>
  <sheetFormatPr defaultColWidth="8.7109375" defaultRowHeight="15" x14ac:dyDescent="0.25"/>
  <cols>
    <col min="1" max="1" width="26" customWidth="1"/>
    <col min="2" max="2" width="70" customWidth="1"/>
  </cols>
  <sheetData>
    <row r="1" spans="1:2" ht="25.5" customHeight="1" x14ac:dyDescent="0.25">
      <c r="A1" s="4" t="s">
        <v>213</v>
      </c>
      <c r="B1" s="4"/>
    </row>
    <row r="2" spans="1:2" ht="15" customHeight="1" x14ac:dyDescent="0.25">
      <c r="A2" s="3" t="s">
        <v>214</v>
      </c>
      <c r="B2" s="3"/>
    </row>
    <row r="4" spans="1:2" ht="15" customHeight="1" x14ac:dyDescent="0.25">
      <c r="A4" s="2" t="s">
        <v>215</v>
      </c>
      <c r="B4" s="2"/>
    </row>
    <row r="5" spans="1:2" ht="64.5" customHeight="1" x14ac:dyDescent="0.25">
      <c r="A5" s="6" t="s">
        <v>216</v>
      </c>
      <c r="B5" s="55" t="s">
        <v>217</v>
      </c>
    </row>
    <row r="6" spans="1:2" ht="64.5" customHeight="1" x14ac:dyDescent="0.25">
      <c r="A6" s="6" t="s">
        <v>218</v>
      </c>
      <c r="B6" s="55" t="s">
        <v>233</v>
      </c>
    </row>
    <row r="8" spans="1:2" ht="15" customHeight="1" x14ac:dyDescent="0.25">
      <c r="A8" s="2" t="s">
        <v>219</v>
      </c>
      <c r="B8" s="2"/>
    </row>
    <row r="9" spans="1:2" ht="84" x14ac:dyDescent="0.25">
      <c r="A9" s="6" t="s">
        <v>220</v>
      </c>
      <c r="B9" s="55" t="s">
        <v>234</v>
      </c>
    </row>
    <row r="10" spans="1:2" ht="84" x14ac:dyDescent="0.25">
      <c r="A10" s="6" t="s">
        <v>221</v>
      </c>
      <c r="B10" s="55" t="s">
        <v>235</v>
      </c>
    </row>
    <row r="11" spans="1:2" ht="72" x14ac:dyDescent="0.25">
      <c r="A11" s="6" t="s">
        <v>222</v>
      </c>
      <c r="B11" s="55" t="s">
        <v>236</v>
      </c>
    </row>
    <row r="13" spans="1:2" ht="15" customHeight="1" x14ac:dyDescent="0.25">
      <c r="A13" s="2" t="s">
        <v>223</v>
      </c>
      <c r="B13" s="2"/>
    </row>
    <row r="14" spans="1:2" ht="64.5" customHeight="1" x14ac:dyDescent="0.25">
      <c r="A14" s="6" t="s">
        <v>224</v>
      </c>
      <c r="B14" s="55" t="s">
        <v>237</v>
      </c>
    </row>
    <row r="15" spans="1:2" ht="72" x14ac:dyDescent="0.25">
      <c r="A15" s="6" t="s">
        <v>225</v>
      </c>
      <c r="B15" s="55" t="s">
        <v>238</v>
      </c>
    </row>
    <row r="16" spans="1:2" ht="72" x14ac:dyDescent="0.25">
      <c r="A16" s="6" t="s">
        <v>226</v>
      </c>
      <c r="B16" s="55" t="s">
        <v>239</v>
      </c>
    </row>
    <row r="18" spans="1:2" ht="15" customHeight="1" x14ac:dyDescent="0.25">
      <c r="A18" s="2" t="s">
        <v>227</v>
      </c>
      <c r="B18" s="2"/>
    </row>
    <row r="19" spans="1:2" ht="64.5" customHeight="1" x14ac:dyDescent="0.25">
      <c r="A19" s="6" t="s">
        <v>228</v>
      </c>
      <c r="B19" s="55" t="s">
        <v>229</v>
      </c>
    </row>
    <row r="21" spans="1:2" ht="15" customHeight="1" x14ac:dyDescent="0.25">
      <c r="A21" s="2" t="s">
        <v>230</v>
      </c>
      <c r="B21" s="2"/>
    </row>
    <row r="22" spans="1:2" ht="64.5" customHeight="1" x14ac:dyDescent="0.25">
      <c r="A22" s="6" t="s">
        <v>231</v>
      </c>
      <c r="B22" s="55" t="s">
        <v>232</v>
      </c>
    </row>
  </sheetData>
  <mergeCells count="7">
    <mergeCell ref="A18:B18"/>
    <mergeCell ref="A21:B21"/>
    <mergeCell ref="A1:B1"/>
    <mergeCell ref="A2:B2"/>
    <mergeCell ref="A4:B4"/>
    <mergeCell ref="A8:B8"/>
    <mergeCell ref="A13:B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Deal Assumptions</vt:lpstr>
      <vt:lpstr>Accretion &amp; Dilution</vt:lpstr>
      <vt:lpstr>Synergy Bridge</vt:lpstr>
      <vt:lpstr>Pro Forma P&amp;L</vt:lpstr>
      <vt:lpstr>Deal Memo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Yassin Alyassin</cp:lastModifiedBy>
  <cp:revision>0</cp:revision>
  <dcterms:created xsi:type="dcterms:W3CDTF">2026-03-13T07:39:02Z</dcterms:created>
  <dcterms:modified xsi:type="dcterms:W3CDTF">2026-03-13T07:44:26Z</dcterms:modified>
  <dc:language>en-US</dc:language>
</cp:coreProperties>
</file>